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Cesc\"/>
    </mc:Choice>
  </mc:AlternateContent>
  <xr:revisionPtr revIDLastSave="0" documentId="8_{6FB900CD-68D1-41B2-90DB-1F79CE13264A}" xr6:coauthVersionLast="47" xr6:coauthVersionMax="47" xr10:uidLastSave="{00000000-0000-0000-0000-000000000000}"/>
  <bookViews>
    <workbookView xWindow="-108" yWindow="-108" windowWidth="23256" windowHeight="12576" tabRatio="670" xr2:uid="{00000000-000D-0000-FFFF-FFFF00000000}"/>
  </bookViews>
  <sheets>
    <sheet name="Entrar Dades" sheetId="1" r:id="rId1"/>
    <sheet name="IMPRIMIR RESULTATS" sheetId="5" r:id="rId2"/>
    <sheet name="IMPRIMIR RESPOSTES" sheetId="7" r:id="rId3"/>
  </sheets>
  <definedNames>
    <definedName name="_xleta.COUNTIF" hidden="1" xlm="1">#NAME?</definedName>
    <definedName name="_xleta.STANDARDIZE" hidden="1" xlm="1">#NAME?</definedName>
    <definedName name="_xlnm.Print_Area" localSheetId="2">'IMPRIMIR RESPOSTES'!$B$2:$N$108</definedName>
    <definedName name="_xlnm.Print_Area" localSheetId="1">'IMPRIMIR RESULTATS'!$B$1:$AA$41</definedName>
    <definedName name="_xlnm.Print_Titles" localSheetId="2">'IMPRIMIR RESPOSTES'!$2:$3</definedName>
    <definedName name="_xlnm.Print_Titles" localSheetId="1">'IMPRIMIR RESULTATS'!$2:$4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A4" i="1" l="1"/>
  <c r="AV4" i="1"/>
  <c r="Z4" i="1"/>
  <c r="AC4" i="1"/>
  <c r="L5" i="5" s="1"/>
  <c r="X4" i="1"/>
  <c r="C5" i="1"/>
  <c r="B3" i="7"/>
  <c r="P3" i="7"/>
  <c r="B2" i="7"/>
  <c r="P2" i="7" s="1"/>
  <c r="B50" i="1"/>
  <c r="C25" i="1"/>
  <c r="D25" i="1"/>
  <c r="E25" i="1"/>
  <c r="F25" i="1"/>
  <c r="G25" i="1"/>
  <c r="R25" i="1" s="1"/>
  <c r="H25" i="1"/>
  <c r="I25" i="1"/>
  <c r="J25" i="1"/>
  <c r="K25" i="1"/>
  <c r="AF25" i="1" s="1"/>
  <c r="L25" i="1"/>
  <c r="M25" i="1"/>
  <c r="N25" i="1"/>
  <c r="E4" i="1"/>
  <c r="H4" i="1"/>
  <c r="G4" i="1"/>
  <c r="J4" i="1"/>
  <c r="S4" i="1" s="1"/>
  <c r="E5" i="1"/>
  <c r="H5" i="1"/>
  <c r="G5" i="1"/>
  <c r="J5" i="1"/>
  <c r="S5" i="1" s="1"/>
  <c r="D6" i="5" s="1"/>
  <c r="E6" i="1"/>
  <c r="H6" i="1"/>
  <c r="G6" i="1"/>
  <c r="J6" i="1"/>
  <c r="S6" i="1" s="1"/>
  <c r="D7" i="5" s="1"/>
  <c r="E7" i="1"/>
  <c r="H7" i="1"/>
  <c r="G7" i="1"/>
  <c r="R7" i="1" s="1"/>
  <c r="C8" i="5" s="1"/>
  <c r="J7" i="1"/>
  <c r="S7" i="1" s="1"/>
  <c r="D8" i="5" s="1"/>
  <c r="E8" i="1"/>
  <c r="H8" i="1"/>
  <c r="G8" i="1"/>
  <c r="R8" i="1" s="1"/>
  <c r="C9" i="5" s="1"/>
  <c r="J8" i="1"/>
  <c r="S8" i="1" s="1"/>
  <c r="D9" i="5" s="1"/>
  <c r="E9" i="1"/>
  <c r="H9" i="1"/>
  <c r="G9" i="1"/>
  <c r="J9" i="1"/>
  <c r="S9" i="1" s="1"/>
  <c r="D10" i="5" s="1"/>
  <c r="E10" i="1"/>
  <c r="H10" i="1"/>
  <c r="BP10" i="1" s="1"/>
  <c r="G10" i="1"/>
  <c r="J10" i="1"/>
  <c r="S10" i="1" s="1"/>
  <c r="D11" i="5" s="1"/>
  <c r="E11" i="1"/>
  <c r="H11" i="1"/>
  <c r="G11" i="1"/>
  <c r="J11" i="1"/>
  <c r="S11" i="1" s="1"/>
  <c r="D12" i="5" s="1"/>
  <c r="E12" i="1"/>
  <c r="H12" i="1"/>
  <c r="G12" i="1"/>
  <c r="J12" i="1"/>
  <c r="S12" i="1" s="1"/>
  <c r="D13" i="5" s="1"/>
  <c r="E13" i="1"/>
  <c r="H13" i="1"/>
  <c r="G13" i="1"/>
  <c r="J13" i="1"/>
  <c r="S13" i="1" s="1"/>
  <c r="D14" i="5" s="1"/>
  <c r="E14" i="1"/>
  <c r="H14" i="1"/>
  <c r="G14" i="1"/>
  <c r="J14" i="1"/>
  <c r="S14" i="1" s="1"/>
  <c r="D15" i="5" s="1"/>
  <c r="E15" i="1"/>
  <c r="H15" i="1"/>
  <c r="G15" i="1"/>
  <c r="J15" i="1"/>
  <c r="E16" i="1"/>
  <c r="H16" i="1"/>
  <c r="G16" i="1"/>
  <c r="R16" i="1" s="1"/>
  <c r="C17" i="5" s="1"/>
  <c r="J16" i="1"/>
  <c r="S16" i="1" s="1"/>
  <c r="D17" i="5" s="1"/>
  <c r="E17" i="1"/>
  <c r="H17" i="1"/>
  <c r="G17" i="1"/>
  <c r="R17" i="1" s="1"/>
  <c r="C18" i="5" s="1"/>
  <c r="J17" i="1"/>
  <c r="S17" i="1" s="1"/>
  <c r="D18" i="5" s="1"/>
  <c r="E18" i="1"/>
  <c r="H18" i="1"/>
  <c r="G18" i="1"/>
  <c r="J18" i="1"/>
  <c r="E19" i="1"/>
  <c r="H19" i="1"/>
  <c r="G19" i="1"/>
  <c r="R19" i="1" s="1"/>
  <c r="C20" i="5" s="1"/>
  <c r="J19" i="1"/>
  <c r="E20" i="1"/>
  <c r="H20" i="1"/>
  <c r="G20" i="1"/>
  <c r="J20" i="1"/>
  <c r="S20" i="1" s="1"/>
  <c r="D21" i="5" s="1"/>
  <c r="E21" i="1"/>
  <c r="H21" i="1"/>
  <c r="G21" i="1"/>
  <c r="J21" i="1"/>
  <c r="S21" i="1" s="1"/>
  <c r="D22" i="5" s="1"/>
  <c r="E22" i="1"/>
  <c r="H22" i="1"/>
  <c r="G22" i="1"/>
  <c r="J22" i="1"/>
  <c r="S22" i="1" s="1"/>
  <c r="D23" i="5" s="1"/>
  <c r="E23" i="1"/>
  <c r="H23" i="1"/>
  <c r="G23" i="1"/>
  <c r="R23" i="1" s="1"/>
  <c r="C24" i="5" s="1"/>
  <c r="J23" i="1"/>
  <c r="S23" i="1" s="1"/>
  <c r="D24" i="5" s="1"/>
  <c r="E24" i="1"/>
  <c r="H24" i="1"/>
  <c r="G24" i="1"/>
  <c r="J24" i="1"/>
  <c r="S24" i="1" s="1"/>
  <c r="D25" i="5" s="1"/>
  <c r="E26" i="1"/>
  <c r="H26" i="1"/>
  <c r="G26" i="1"/>
  <c r="R26" i="1" s="1"/>
  <c r="C27" i="5" s="1"/>
  <c r="J26" i="1"/>
  <c r="S26" i="1" s="1"/>
  <c r="D27" i="5" s="1"/>
  <c r="E27" i="1"/>
  <c r="H27" i="1"/>
  <c r="G27" i="1"/>
  <c r="R27" i="1" s="1"/>
  <c r="C28" i="5" s="1"/>
  <c r="J27" i="1"/>
  <c r="S27" i="1" s="1"/>
  <c r="D28" i="5" s="1"/>
  <c r="E28" i="1"/>
  <c r="H28" i="1"/>
  <c r="G28" i="1"/>
  <c r="R28" i="1" s="1"/>
  <c r="C29" i="5" s="1"/>
  <c r="J28" i="1"/>
  <c r="S28" i="1" s="1"/>
  <c r="D29" i="5" s="1"/>
  <c r="E29" i="1"/>
  <c r="H29" i="1"/>
  <c r="G29" i="1"/>
  <c r="R29" i="1" s="1"/>
  <c r="C30" i="5" s="1"/>
  <c r="J29" i="1"/>
  <c r="S29" i="1" s="1"/>
  <c r="D30" i="5" s="1"/>
  <c r="E30" i="1"/>
  <c r="H30" i="1"/>
  <c r="G30" i="1"/>
  <c r="R30" i="1" s="1"/>
  <c r="C31" i="5" s="1"/>
  <c r="J30" i="1"/>
  <c r="E31" i="1"/>
  <c r="H31" i="1"/>
  <c r="G31" i="1"/>
  <c r="R31" i="1" s="1"/>
  <c r="C32" i="5" s="1"/>
  <c r="J31" i="1"/>
  <c r="S31" i="1" s="1"/>
  <c r="D32" i="5" s="1"/>
  <c r="E32" i="1"/>
  <c r="H32" i="1"/>
  <c r="G32" i="1"/>
  <c r="R32" i="1" s="1"/>
  <c r="C33" i="5" s="1"/>
  <c r="J32" i="1"/>
  <c r="S32" i="1" s="1"/>
  <c r="D33" i="5" s="1"/>
  <c r="E33" i="1"/>
  <c r="H33" i="1"/>
  <c r="G33" i="1"/>
  <c r="R33" i="1" s="1"/>
  <c r="C34" i="5" s="1"/>
  <c r="J33" i="1"/>
  <c r="S33" i="1" s="1"/>
  <c r="D34" i="5" s="1"/>
  <c r="E34" i="1"/>
  <c r="H34" i="1"/>
  <c r="G34" i="1"/>
  <c r="R34" i="1" s="1"/>
  <c r="C35" i="5" s="1"/>
  <c r="J34" i="1"/>
  <c r="S34" i="1" s="1"/>
  <c r="D35" i="5" s="1"/>
  <c r="E35" i="1"/>
  <c r="H35" i="1"/>
  <c r="G35" i="1"/>
  <c r="J35" i="1"/>
  <c r="S35" i="1" s="1"/>
  <c r="D36" i="5" s="1"/>
  <c r="E36" i="1"/>
  <c r="H36" i="1"/>
  <c r="G36" i="1"/>
  <c r="R36" i="1" s="1"/>
  <c r="C37" i="5" s="1"/>
  <c r="J36" i="1"/>
  <c r="S36" i="1" s="1"/>
  <c r="D37" i="5" s="1"/>
  <c r="E37" i="1"/>
  <c r="H37" i="1"/>
  <c r="G37" i="1"/>
  <c r="R37" i="1" s="1"/>
  <c r="C38" i="5" s="1"/>
  <c r="J37" i="1"/>
  <c r="S37" i="1" s="1"/>
  <c r="D38" i="5" s="1"/>
  <c r="E38" i="1"/>
  <c r="H38" i="1"/>
  <c r="G38" i="1"/>
  <c r="R38" i="1" s="1"/>
  <c r="C39" i="5" s="1"/>
  <c r="J38" i="1"/>
  <c r="S38" i="1" s="1"/>
  <c r="D39" i="5" s="1"/>
  <c r="BP16" i="1"/>
  <c r="F4" i="1"/>
  <c r="I4" i="1"/>
  <c r="F5" i="1"/>
  <c r="I5" i="1"/>
  <c r="F6" i="1"/>
  <c r="I6" i="1"/>
  <c r="F7" i="1"/>
  <c r="I7" i="1"/>
  <c r="F8" i="1"/>
  <c r="I8" i="1"/>
  <c r="F9" i="1"/>
  <c r="I9" i="1"/>
  <c r="F10" i="1"/>
  <c r="I10" i="1"/>
  <c r="F11" i="1"/>
  <c r="I11" i="1"/>
  <c r="F12" i="1"/>
  <c r="I12" i="1"/>
  <c r="F13" i="1"/>
  <c r="I13" i="1"/>
  <c r="F14" i="1"/>
  <c r="I14" i="1"/>
  <c r="F15" i="1"/>
  <c r="I15" i="1"/>
  <c r="F16" i="1"/>
  <c r="I16" i="1"/>
  <c r="F17" i="1"/>
  <c r="I17" i="1"/>
  <c r="F18" i="1"/>
  <c r="I18" i="1"/>
  <c r="F19" i="1"/>
  <c r="I19" i="1"/>
  <c r="F20" i="1"/>
  <c r="I20" i="1"/>
  <c r="F21" i="1"/>
  <c r="I21" i="1"/>
  <c r="F22" i="1"/>
  <c r="I22" i="1"/>
  <c r="F23" i="1"/>
  <c r="I23" i="1"/>
  <c r="F24" i="1"/>
  <c r="I24" i="1"/>
  <c r="F26" i="1"/>
  <c r="I26" i="1"/>
  <c r="F27" i="1"/>
  <c r="I27" i="1"/>
  <c r="F28" i="1"/>
  <c r="I28" i="1"/>
  <c r="F29" i="1"/>
  <c r="I29" i="1"/>
  <c r="F30" i="1"/>
  <c r="I30" i="1"/>
  <c r="F31" i="1"/>
  <c r="I31" i="1"/>
  <c r="F32" i="1"/>
  <c r="I32" i="1"/>
  <c r="F33" i="1"/>
  <c r="Z33" i="1" s="1"/>
  <c r="J34" i="5" s="1"/>
  <c r="I33" i="1"/>
  <c r="F34" i="1"/>
  <c r="I34" i="1"/>
  <c r="F35" i="1"/>
  <c r="I35" i="1"/>
  <c r="F36" i="1"/>
  <c r="I36" i="1"/>
  <c r="F37" i="1"/>
  <c r="I37" i="1"/>
  <c r="F38" i="1"/>
  <c r="I38" i="1"/>
  <c r="AC25" i="1"/>
  <c r="K4" i="1"/>
  <c r="L4" i="1"/>
  <c r="AG4" i="1" s="1"/>
  <c r="O5" i="5" s="1"/>
  <c r="M4" i="1"/>
  <c r="AH4" i="1" s="1"/>
  <c r="P5" i="5" s="1"/>
  <c r="K5" i="1"/>
  <c r="AF5" i="1" s="1"/>
  <c r="N6" i="5" s="1"/>
  <c r="L5" i="1"/>
  <c r="M5" i="1"/>
  <c r="AH5" i="1" s="1"/>
  <c r="P6" i="5" s="1"/>
  <c r="K6" i="1"/>
  <c r="L6" i="1"/>
  <c r="AG6" i="1" s="1"/>
  <c r="O7" i="5" s="1"/>
  <c r="M6" i="1"/>
  <c r="K7" i="1"/>
  <c r="AF7" i="1" s="1"/>
  <c r="N8" i="5" s="1"/>
  <c r="L7" i="1"/>
  <c r="AG7" i="1" s="1"/>
  <c r="O8" i="5" s="1"/>
  <c r="M7" i="1"/>
  <c r="AH7" i="1" s="1"/>
  <c r="P8" i="5" s="1"/>
  <c r="K8" i="1"/>
  <c r="AF8" i="1" s="1"/>
  <c r="N9" i="5" s="1"/>
  <c r="L8" i="1"/>
  <c r="M8" i="1"/>
  <c r="AH8" i="1" s="1"/>
  <c r="P9" i="5" s="1"/>
  <c r="K9" i="1"/>
  <c r="AF9" i="1" s="1"/>
  <c r="N10" i="5" s="1"/>
  <c r="L9" i="1"/>
  <c r="AG9" i="1" s="1"/>
  <c r="O10" i="5" s="1"/>
  <c r="M9" i="1"/>
  <c r="AH9" i="1" s="1"/>
  <c r="P10" i="5" s="1"/>
  <c r="K10" i="1"/>
  <c r="L10" i="1"/>
  <c r="AG10" i="1" s="1"/>
  <c r="O11" i="5" s="1"/>
  <c r="M10" i="1"/>
  <c r="AH10" i="1" s="1"/>
  <c r="P11" i="5" s="1"/>
  <c r="K11" i="1"/>
  <c r="AF11" i="1" s="1"/>
  <c r="N12" i="5" s="1"/>
  <c r="L11" i="1"/>
  <c r="AG11" i="1" s="1"/>
  <c r="O12" i="5" s="1"/>
  <c r="M11" i="1"/>
  <c r="AH11" i="1" s="1"/>
  <c r="P12" i="5" s="1"/>
  <c r="K12" i="1"/>
  <c r="L12" i="1"/>
  <c r="AG12" i="1" s="1"/>
  <c r="O13" i="5" s="1"/>
  <c r="M12" i="1"/>
  <c r="AH12" i="1" s="1"/>
  <c r="P13" i="5" s="1"/>
  <c r="K13" i="1"/>
  <c r="AF13" i="1" s="1"/>
  <c r="N14" i="5" s="1"/>
  <c r="L13" i="1"/>
  <c r="AG13" i="1" s="1"/>
  <c r="O14" i="5" s="1"/>
  <c r="M13" i="1"/>
  <c r="K14" i="1"/>
  <c r="AF14" i="1" s="1"/>
  <c r="N15" i="5" s="1"/>
  <c r="L14" i="1"/>
  <c r="AG14" i="1" s="1"/>
  <c r="O15" i="5" s="1"/>
  <c r="M14" i="1"/>
  <c r="K15" i="1"/>
  <c r="AF15" i="1" s="1"/>
  <c r="N16" i="5" s="1"/>
  <c r="L15" i="1"/>
  <c r="AG15" i="1" s="1"/>
  <c r="O16" i="5" s="1"/>
  <c r="M15" i="1"/>
  <c r="AH15" i="1" s="1"/>
  <c r="P16" i="5" s="1"/>
  <c r="K16" i="1"/>
  <c r="AF16" i="1" s="1"/>
  <c r="L16" i="1"/>
  <c r="AG16" i="1" s="1"/>
  <c r="O17" i="5" s="1"/>
  <c r="M16" i="1"/>
  <c r="AH16" i="1" s="1"/>
  <c r="P17" i="5" s="1"/>
  <c r="K17" i="1"/>
  <c r="AF17" i="1" s="1"/>
  <c r="N18" i="5" s="1"/>
  <c r="L17" i="1"/>
  <c r="AG17" i="1" s="1"/>
  <c r="O18" i="5" s="1"/>
  <c r="M17" i="1"/>
  <c r="AH17" i="1" s="1"/>
  <c r="P18" i="5" s="1"/>
  <c r="K18" i="1"/>
  <c r="AF18" i="1" s="1"/>
  <c r="N19" i="5" s="1"/>
  <c r="L18" i="1"/>
  <c r="AG18" i="1" s="1"/>
  <c r="O19" i="5" s="1"/>
  <c r="M18" i="1"/>
  <c r="K19" i="1"/>
  <c r="AF19" i="1" s="1"/>
  <c r="N20" i="5" s="1"/>
  <c r="L19" i="1"/>
  <c r="AG19" i="1" s="1"/>
  <c r="O20" i="5" s="1"/>
  <c r="M19" i="1"/>
  <c r="AH19" i="1" s="1"/>
  <c r="P20" i="5" s="1"/>
  <c r="K20" i="1"/>
  <c r="L20" i="1"/>
  <c r="AG20" i="1" s="1"/>
  <c r="O21" i="5" s="1"/>
  <c r="M20" i="1"/>
  <c r="K21" i="1"/>
  <c r="AF21" i="1" s="1"/>
  <c r="N22" i="5" s="1"/>
  <c r="L21" i="1"/>
  <c r="M21" i="1"/>
  <c r="AH21" i="1" s="1"/>
  <c r="P22" i="5" s="1"/>
  <c r="K22" i="1"/>
  <c r="AF22" i="1" s="1"/>
  <c r="N23" i="5" s="1"/>
  <c r="L22" i="1"/>
  <c r="AG22" i="1" s="1"/>
  <c r="O23" i="5" s="1"/>
  <c r="M22" i="1"/>
  <c r="K23" i="1"/>
  <c r="AF23" i="1" s="1"/>
  <c r="N24" i="5" s="1"/>
  <c r="L23" i="1"/>
  <c r="AG23" i="1" s="1"/>
  <c r="O24" i="5" s="1"/>
  <c r="M23" i="1"/>
  <c r="AH23" i="1" s="1"/>
  <c r="P24" i="5" s="1"/>
  <c r="K24" i="1"/>
  <c r="AF24" i="1" s="1"/>
  <c r="N25" i="5" s="1"/>
  <c r="L24" i="1"/>
  <c r="AG24" i="1" s="1"/>
  <c r="O25" i="5" s="1"/>
  <c r="M24" i="1"/>
  <c r="AH24" i="1" s="1"/>
  <c r="P25" i="5" s="1"/>
  <c r="K26" i="1"/>
  <c r="AF26" i="1" s="1"/>
  <c r="N27" i="5" s="1"/>
  <c r="L26" i="1"/>
  <c r="M26" i="1"/>
  <c r="AH26" i="1" s="1"/>
  <c r="P27" i="5" s="1"/>
  <c r="K27" i="1"/>
  <c r="L27" i="1"/>
  <c r="AG27" i="1" s="1"/>
  <c r="O28" i="5" s="1"/>
  <c r="M27" i="1"/>
  <c r="AH27" i="1" s="1"/>
  <c r="P28" i="5" s="1"/>
  <c r="K28" i="1"/>
  <c r="AF28" i="1" s="1"/>
  <c r="N29" i="5" s="1"/>
  <c r="L28" i="1"/>
  <c r="M28" i="1"/>
  <c r="AH28" i="1" s="1"/>
  <c r="P29" i="5" s="1"/>
  <c r="K29" i="1"/>
  <c r="L29" i="1"/>
  <c r="M29" i="1"/>
  <c r="AH29" i="1" s="1"/>
  <c r="P30" i="5" s="1"/>
  <c r="K30" i="1"/>
  <c r="AF30" i="1" s="1"/>
  <c r="N31" i="5" s="1"/>
  <c r="L30" i="1"/>
  <c r="M30" i="1"/>
  <c r="AH30" i="1" s="1"/>
  <c r="P31" i="5" s="1"/>
  <c r="K31" i="1"/>
  <c r="AF31" i="1" s="1"/>
  <c r="N32" i="5" s="1"/>
  <c r="L31" i="1"/>
  <c r="M31" i="1"/>
  <c r="AH31" i="1" s="1"/>
  <c r="P32" i="5" s="1"/>
  <c r="K32" i="1"/>
  <c r="AF32" i="1" s="1"/>
  <c r="N33" i="5" s="1"/>
  <c r="L32" i="1"/>
  <c r="AG32" i="1" s="1"/>
  <c r="O33" i="5" s="1"/>
  <c r="M32" i="1"/>
  <c r="AH32" i="1" s="1"/>
  <c r="P33" i="5" s="1"/>
  <c r="K33" i="1"/>
  <c r="L33" i="1"/>
  <c r="AG33" i="1" s="1"/>
  <c r="O34" i="5" s="1"/>
  <c r="M33" i="1"/>
  <c r="AH33" i="1" s="1"/>
  <c r="P34" i="5" s="1"/>
  <c r="K34" i="1"/>
  <c r="AF34" i="1" s="1"/>
  <c r="N35" i="5" s="1"/>
  <c r="L34" i="1"/>
  <c r="M34" i="1"/>
  <c r="AH34" i="1" s="1"/>
  <c r="P35" i="5" s="1"/>
  <c r="K35" i="1"/>
  <c r="L35" i="1"/>
  <c r="AG35" i="1" s="1"/>
  <c r="O36" i="5" s="1"/>
  <c r="M35" i="1"/>
  <c r="AH35" i="1" s="1"/>
  <c r="P36" i="5" s="1"/>
  <c r="K36" i="1"/>
  <c r="L36" i="1"/>
  <c r="AG36" i="1" s="1"/>
  <c r="O37" i="5" s="1"/>
  <c r="M36" i="1"/>
  <c r="AH36" i="1" s="1"/>
  <c r="P37" i="5" s="1"/>
  <c r="K37" i="1"/>
  <c r="AF37" i="1" s="1"/>
  <c r="N38" i="5" s="1"/>
  <c r="L37" i="1"/>
  <c r="AG37" i="1" s="1"/>
  <c r="O38" i="5" s="1"/>
  <c r="M37" i="1"/>
  <c r="AH37" i="1" s="1"/>
  <c r="P38" i="5" s="1"/>
  <c r="K38" i="1"/>
  <c r="AF38" i="1" s="1"/>
  <c r="N39" i="5" s="1"/>
  <c r="L38" i="1"/>
  <c r="M38" i="1"/>
  <c r="AH38" i="1" s="1"/>
  <c r="P39" i="5" s="1"/>
  <c r="C4" i="1"/>
  <c r="AS4" i="1" s="1"/>
  <c r="Z5" i="5" s="1"/>
  <c r="D4" i="1"/>
  <c r="D5" i="1"/>
  <c r="AT5" i="1" s="1"/>
  <c r="C6" i="1"/>
  <c r="AS6" i="1" s="1"/>
  <c r="Z7" i="5" s="1"/>
  <c r="D6" i="1"/>
  <c r="C7" i="1"/>
  <c r="AS7" i="1" s="1"/>
  <c r="Z8" i="5" s="1"/>
  <c r="D7" i="1"/>
  <c r="AT7" i="1" s="1"/>
  <c r="C8" i="1"/>
  <c r="AS8" i="1" s="1"/>
  <c r="Z9" i="5" s="1"/>
  <c r="D8" i="1"/>
  <c r="AT8" i="1" s="1"/>
  <c r="C9" i="1"/>
  <c r="D9" i="1"/>
  <c r="AT9" i="1" s="1"/>
  <c r="AA10" i="5" s="1"/>
  <c r="C10" i="1"/>
  <c r="D10" i="1"/>
  <c r="AT10" i="1" s="1"/>
  <c r="AA11" i="5" s="1"/>
  <c r="C11" i="1"/>
  <c r="AS11" i="1" s="1"/>
  <c r="Z12" i="5" s="1"/>
  <c r="D11" i="1"/>
  <c r="C12" i="1"/>
  <c r="AS12" i="1" s="1"/>
  <c r="Z13" i="5" s="1"/>
  <c r="D12" i="1"/>
  <c r="AT12" i="1" s="1"/>
  <c r="C13" i="1"/>
  <c r="AS13" i="1" s="1"/>
  <c r="Z14" i="5" s="1"/>
  <c r="D13" i="1"/>
  <c r="AT13" i="1" s="1"/>
  <c r="AA14" i="5" s="1"/>
  <c r="C14" i="1"/>
  <c r="AS14" i="1" s="1"/>
  <c r="Z15" i="5" s="1"/>
  <c r="D14" i="1"/>
  <c r="AT14" i="1" s="1"/>
  <c r="AA15" i="5" s="1"/>
  <c r="C15" i="1"/>
  <c r="AS15" i="1" s="1"/>
  <c r="Z16" i="5" s="1"/>
  <c r="D15" i="1"/>
  <c r="AT15" i="1" s="1"/>
  <c r="AA16" i="5" s="1"/>
  <c r="C16" i="1"/>
  <c r="AS16" i="1" s="1"/>
  <c r="Z17" i="5" s="1"/>
  <c r="D16" i="1"/>
  <c r="AT16" i="1" s="1"/>
  <c r="AA17" i="5" s="1"/>
  <c r="C17" i="1"/>
  <c r="AS17" i="1" s="1"/>
  <c r="Z18" i="5" s="1"/>
  <c r="D17" i="1"/>
  <c r="AT17" i="1" s="1"/>
  <c r="AA18" i="5" s="1"/>
  <c r="C18" i="1"/>
  <c r="AS18" i="1" s="1"/>
  <c r="Z19" i="5" s="1"/>
  <c r="D18" i="1"/>
  <c r="C19" i="1"/>
  <c r="AS19" i="1" s="1"/>
  <c r="Z20" i="5" s="1"/>
  <c r="D19" i="1"/>
  <c r="C20" i="1"/>
  <c r="AS20" i="1" s="1"/>
  <c r="D20" i="1"/>
  <c r="AT20" i="1" s="1"/>
  <c r="AA21" i="5" s="1"/>
  <c r="C21" i="1"/>
  <c r="AS21" i="1" s="1"/>
  <c r="Z22" i="5" s="1"/>
  <c r="D21" i="1"/>
  <c r="AT21" i="1" s="1"/>
  <c r="AA22" i="5" s="1"/>
  <c r="C22" i="1"/>
  <c r="AS22" i="1" s="1"/>
  <c r="Z23" i="5" s="1"/>
  <c r="D22" i="1"/>
  <c r="AT22" i="1" s="1"/>
  <c r="AA23" i="5" s="1"/>
  <c r="C23" i="1"/>
  <c r="AS23" i="1" s="1"/>
  <c r="Z24" i="5" s="1"/>
  <c r="D23" i="1"/>
  <c r="AT23" i="1" s="1"/>
  <c r="AA24" i="5" s="1"/>
  <c r="C24" i="1"/>
  <c r="D24" i="1"/>
  <c r="AT24" i="1" s="1"/>
  <c r="AA25" i="5" s="1"/>
  <c r="C26" i="1"/>
  <c r="AS26" i="1" s="1"/>
  <c r="Z27" i="5" s="1"/>
  <c r="D26" i="1"/>
  <c r="AT26" i="1" s="1"/>
  <c r="AA27" i="5" s="1"/>
  <c r="C27" i="1"/>
  <c r="AS27" i="1" s="1"/>
  <c r="Z28" i="5" s="1"/>
  <c r="D27" i="1"/>
  <c r="C28" i="1"/>
  <c r="AS28" i="1" s="1"/>
  <c r="Z29" i="5" s="1"/>
  <c r="D28" i="1"/>
  <c r="AT28" i="1" s="1"/>
  <c r="AA29" i="5" s="1"/>
  <c r="C29" i="1"/>
  <c r="AS29" i="1" s="1"/>
  <c r="D29" i="1"/>
  <c r="AT29" i="1" s="1"/>
  <c r="AA30" i="5" s="1"/>
  <c r="C30" i="1"/>
  <c r="AS30" i="1" s="1"/>
  <c r="Z31" i="5" s="1"/>
  <c r="D30" i="1"/>
  <c r="AT30" i="1" s="1"/>
  <c r="AA31" i="5" s="1"/>
  <c r="C31" i="1"/>
  <c r="D31" i="1"/>
  <c r="AT31" i="1" s="1"/>
  <c r="C32" i="1"/>
  <c r="AS32" i="1" s="1"/>
  <c r="Z33" i="5" s="1"/>
  <c r="D32" i="1"/>
  <c r="AT32" i="1" s="1"/>
  <c r="AA33" i="5" s="1"/>
  <c r="C33" i="1"/>
  <c r="AS33" i="1" s="1"/>
  <c r="D33" i="1"/>
  <c r="AT33" i="1" s="1"/>
  <c r="C34" i="1"/>
  <c r="AS34" i="1" s="1"/>
  <c r="Z35" i="5" s="1"/>
  <c r="D34" i="1"/>
  <c r="AT34" i="1" s="1"/>
  <c r="AA35" i="5" s="1"/>
  <c r="C35" i="1"/>
  <c r="AS35" i="1" s="1"/>
  <c r="Z36" i="5" s="1"/>
  <c r="D35" i="1"/>
  <c r="C36" i="1"/>
  <c r="D36" i="1"/>
  <c r="C37" i="1"/>
  <c r="D37" i="1"/>
  <c r="AT37" i="1" s="1"/>
  <c r="C38" i="1"/>
  <c r="AS38" i="1" s="1"/>
  <c r="Z39" i="5" s="1"/>
  <c r="D38" i="1"/>
  <c r="AT38" i="1" s="1"/>
  <c r="AA39" i="5" s="1"/>
  <c r="AS25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AC26" i="1"/>
  <c r="AC27" i="1"/>
  <c r="L28" i="5" s="1"/>
  <c r="AC28" i="1"/>
  <c r="AC29" i="1"/>
  <c r="AC30" i="1"/>
  <c r="AC31" i="1"/>
  <c r="AC32" i="1"/>
  <c r="AC33" i="1"/>
  <c r="AC34" i="1"/>
  <c r="L35" i="5" s="1"/>
  <c r="AC35" i="1"/>
  <c r="T36" i="1"/>
  <c r="E37" i="5" s="1"/>
  <c r="AC36" i="1"/>
  <c r="AC37" i="1"/>
  <c r="AS37" i="1"/>
  <c r="Z38" i="5" s="1"/>
  <c r="AC38" i="1"/>
  <c r="M2" i="5"/>
  <c r="B2" i="5"/>
  <c r="T7" i="1"/>
  <c r="E8" i="5" s="1"/>
  <c r="T11" i="1"/>
  <c r="E12" i="5" s="1"/>
  <c r="T15" i="1"/>
  <c r="E16" i="5" s="1"/>
  <c r="T19" i="1"/>
  <c r="AC5" i="1"/>
  <c r="AC6" i="1"/>
  <c r="AC7" i="1"/>
  <c r="AC8" i="1"/>
  <c r="AC9" i="1"/>
  <c r="AC10" i="1"/>
  <c r="AC11" i="1"/>
  <c r="L12" i="5" s="1"/>
  <c r="AC12" i="1"/>
  <c r="AC13" i="1"/>
  <c r="AC14" i="1"/>
  <c r="S15" i="1"/>
  <c r="D16" i="5" s="1"/>
  <c r="AC15" i="1"/>
  <c r="AC16" i="1"/>
  <c r="AC17" i="1"/>
  <c r="S18" i="1"/>
  <c r="D19" i="5" s="1"/>
  <c r="AC18" i="1"/>
  <c r="L19" i="5" s="1"/>
  <c r="AC19" i="1"/>
  <c r="L20" i="5" s="1"/>
  <c r="AC20" i="1"/>
  <c r="AC21" i="1"/>
  <c r="AC22" i="1"/>
  <c r="AC23" i="1"/>
  <c r="AC24" i="1"/>
  <c r="C39" i="1"/>
  <c r="D39" i="1"/>
  <c r="E39" i="1"/>
  <c r="F39" i="1"/>
  <c r="G39" i="1"/>
  <c r="H39" i="1"/>
  <c r="I39" i="1"/>
  <c r="J39" i="1"/>
  <c r="K39" i="1"/>
  <c r="L39" i="1"/>
  <c r="M39" i="1"/>
  <c r="N39" i="1"/>
  <c r="E161" i="1"/>
  <c r="A50" i="1"/>
  <c r="A53" i="1"/>
  <c r="B53" i="1"/>
  <c r="A56" i="1"/>
  <c r="B56" i="1"/>
  <c r="A59" i="1"/>
  <c r="B59" i="1"/>
  <c r="A62" i="1"/>
  <c r="B62" i="1"/>
  <c r="A65" i="1"/>
  <c r="B65" i="1"/>
  <c r="A68" i="1"/>
  <c r="B68" i="1"/>
  <c r="B22" i="7" s="1"/>
  <c r="A71" i="1"/>
  <c r="B71" i="1"/>
  <c r="B25" i="7" s="1"/>
  <c r="A74" i="1"/>
  <c r="B74" i="1"/>
  <c r="A77" i="1"/>
  <c r="B77" i="1"/>
  <c r="B31" i="7" s="1"/>
  <c r="A80" i="1"/>
  <c r="B80" i="1"/>
  <c r="A83" i="1"/>
  <c r="B83" i="1"/>
  <c r="A86" i="1"/>
  <c r="B86" i="1"/>
  <c r="A89" i="1"/>
  <c r="B89" i="1"/>
  <c r="A92" i="1"/>
  <c r="B92" i="1"/>
  <c r="B46" i="7" s="1"/>
  <c r="A95" i="1"/>
  <c r="B95" i="1"/>
  <c r="A98" i="1"/>
  <c r="B98" i="1"/>
  <c r="A101" i="1"/>
  <c r="B101" i="1"/>
  <c r="A104" i="1"/>
  <c r="B104" i="1"/>
  <c r="A107" i="1"/>
  <c r="B107" i="1"/>
  <c r="B61" i="7" s="1"/>
  <c r="A110" i="1"/>
  <c r="B110" i="1"/>
  <c r="A113" i="1"/>
  <c r="B113" i="1"/>
  <c r="A116" i="1"/>
  <c r="B116" i="1"/>
  <c r="B70" i="7" s="1"/>
  <c r="A119" i="1"/>
  <c r="B119" i="1"/>
  <c r="A122" i="1"/>
  <c r="B122" i="1"/>
  <c r="A125" i="1"/>
  <c r="B125" i="1"/>
  <c r="B79" i="7" s="1"/>
  <c r="A128" i="1"/>
  <c r="B128" i="1"/>
  <c r="A131" i="1"/>
  <c r="B131" i="1"/>
  <c r="A134" i="1"/>
  <c r="B134" i="1"/>
  <c r="A137" i="1"/>
  <c r="B137" i="1"/>
  <c r="A140" i="1"/>
  <c r="B140" i="1"/>
  <c r="B94" i="7" s="1"/>
  <c r="A143" i="1"/>
  <c r="B143" i="1"/>
  <c r="A146" i="1"/>
  <c r="B146" i="1"/>
  <c r="A149" i="1"/>
  <c r="B149" i="1"/>
  <c r="A152" i="1"/>
  <c r="B152" i="1"/>
  <c r="B4" i="7"/>
  <c r="C4" i="7"/>
  <c r="D4" i="7"/>
  <c r="E4" i="7"/>
  <c r="F4" i="7"/>
  <c r="G4" i="7"/>
  <c r="H4" i="7"/>
  <c r="I4" i="7"/>
  <c r="J4" i="7"/>
  <c r="K4" i="7"/>
  <c r="L4" i="7"/>
  <c r="M4" i="7"/>
  <c r="N4" i="7"/>
  <c r="C5" i="7"/>
  <c r="D5" i="7"/>
  <c r="E5" i="7"/>
  <c r="F5" i="7"/>
  <c r="G5" i="7"/>
  <c r="H5" i="7"/>
  <c r="I5" i="7"/>
  <c r="J5" i="7"/>
  <c r="K5" i="7"/>
  <c r="L5" i="7"/>
  <c r="M5" i="7"/>
  <c r="N5" i="7"/>
  <c r="C6" i="7"/>
  <c r="D6" i="7"/>
  <c r="E6" i="7"/>
  <c r="F6" i="7"/>
  <c r="G6" i="7"/>
  <c r="H6" i="7"/>
  <c r="I6" i="7"/>
  <c r="J6" i="7"/>
  <c r="K6" i="7"/>
  <c r="L6" i="7"/>
  <c r="M6" i="7"/>
  <c r="N6" i="7"/>
  <c r="B7" i="7"/>
  <c r="C7" i="7"/>
  <c r="D7" i="7"/>
  <c r="E7" i="7"/>
  <c r="F7" i="7"/>
  <c r="G7" i="7"/>
  <c r="H7" i="7"/>
  <c r="I7" i="7"/>
  <c r="J7" i="7"/>
  <c r="K7" i="7"/>
  <c r="L7" i="7"/>
  <c r="M7" i="7"/>
  <c r="N7" i="7"/>
  <c r="C8" i="7"/>
  <c r="D8" i="7"/>
  <c r="E8" i="7"/>
  <c r="F8" i="7"/>
  <c r="G8" i="7"/>
  <c r="H8" i="7"/>
  <c r="I8" i="7"/>
  <c r="J8" i="7"/>
  <c r="K8" i="7"/>
  <c r="L8" i="7"/>
  <c r="M8" i="7"/>
  <c r="N8" i="7"/>
  <c r="C9" i="7"/>
  <c r="D9" i="7"/>
  <c r="E9" i="7"/>
  <c r="F9" i="7"/>
  <c r="G9" i="7"/>
  <c r="H9" i="7"/>
  <c r="I9" i="7"/>
  <c r="J9" i="7"/>
  <c r="K9" i="7"/>
  <c r="L9" i="7"/>
  <c r="M9" i="7"/>
  <c r="N9" i="7"/>
  <c r="C10" i="7"/>
  <c r="D10" i="7"/>
  <c r="E10" i="7"/>
  <c r="F10" i="7"/>
  <c r="G10" i="7"/>
  <c r="H10" i="7"/>
  <c r="I10" i="7"/>
  <c r="J10" i="7"/>
  <c r="K10" i="7"/>
  <c r="L10" i="7"/>
  <c r="M10" i="7"/>
  <c r="N10" i="7"/>
  <c r="C11" i="7"/>
  <c r="D11" i="7"/>
  <c r="E11" i="7"/>
  <c r="F11" i="7"/>
  <c r="G11" i="7"/>
  <c r="H11" i="7"/>
  <c r="I11" i="7"/>
  <c r="J11" i="7"/>
  <c r="K11" i="7"/>
  <c r="L11" i="7"/>
  <c r="M11" i="7"/>
  <c r="N11" i="7"/>
  <c r="C12" i="7"/>
  <c r="D12" i="7"/>
  <c r="E12" i="7"/>
  <c r="F12" i="7"/>
  <c r="G12" i="7"/>
  <c r="H12" i="7"/>
  <c r="I12" i="7"/>
  <c r="J12" i="7"/>
  <c r="K12" i="7"/>
  <c r="L12" i="7"/>
  <c r="M12" i="7"/>
  <c r="N12" i="7"/>
  <c r="C13" i="7"/>
  <c r="D13" i="7"/>
  <c r="E13" i="7"/>
  <c r="F13" i="7"/>
  <c r="G13" i="7"/>
  <c r="H13" i="7"/>
  <c r="I13" i="7"/>
  <c r="J13" i="7"/>
  <c r="K13" i="7"/>
  <c r="L13" i="7"/>
  <c r="M13" i="7"/>
  <c r="N13" i="7"/>
  <c r="C14" i="7"/>
  <c r="D14" i="7"/>
  <c r="E14" i="7"/>
  <c r="F14" i="7"/>
  <c r="G14" i="7"/>
  <c r="H14" i="7"/>
  <c r="I14" i="7"/>
  <c r="J14" i="7"/>
  <c r="K14" i="7"/>
  <c r="L14" i="7"/>
  <c r="M14" i="7"/>
  <c r="N14" i="7"/>
  <c r="C15" i="7"/>
  <c r="D15" i="7"/>
  <c r="E15" i="7"/>
  <c r="F15" i="7"/>
  <c r="G15" i="7"/>
  <c r="H15" i="7"/>
  <c r="I15" i="7"/>
  <c r="J15" i="7"/>
  <c r="K15" i="7"/>
  <c r="L15" i="7"/>
  <c r="M15" i="7"/>
  <c r="N15" i="7"/>
  <c r="C16" i="7"/>
  <c r="D16" i="7"/>
  <c r="E16" i="7"/>
  <c r="F16" i="7"/>
  <c r="G16" i="7"/>
  <c r="H16" i="7"/>
  <c r="I16" i="7"/>
  <c r="J16" i="7"/>
  <c r="K16" i="7"/>
  <c r="L16" i="7"/>
  <c r="M16" i="7"/>
  <c r="N16" i="7"/>
  <c r="C17" i="7"/>
  <c r="D17" i="7"/>
  <c r="E17" i="7"/>
  <c r="F17" i="7"/>
  <c r="G17" i="7"/>
  <c r="H17" i="7"/>
  <c r="I17" i="7"/>
  <c r="J17" i="7"/>
  <c r="K17" i="7"/>
  <c r="L17" i="7"/>
  <c r="M17" i="7"/>
  <c r="N17" i="7"/>
  <c r="C18" i="7"/>
  <c r="D18" i="7"/>
  <c r="E18" i="7"/>
  <c r="F18" i="7"/>
  <c r="G18" i="7"/>
  <c r="H18" i="7"/>
  <c r="I18" i="7"/>
  <c r="J18" i="7"/>
  <c r="K18" i="7"/>
  <c r="L18" i="7"/>
  <c r="M18" i="7"/>
  <c r="N18" i="7"/>
  <c r="C19" i="7"/>
  <c r="D19" i="7"/>
  <c r="E19" i="7"/>
  <c r="F19" i="7"/>
  <c r="G19" i="7"/>
  <c r="H19" i="7"/>
  <c r="I19" i="7"/>
  <c r="J19" i="7"/>
  <c r="K19" i="7"/>
  <c r="L19" i="7"/>
  <c r="M19" i="7"/>
  <c r="N19" i="7"/>
  <c r="C20" i="7"/>
  <c r="D20" i="7"/>
  <c r="E20" i="7"/>
  <c r="F20" i="7"/>
  <c r="G20" i="7"/>
  <c r="H20" i="7"/>
  <c r="I20" i="7"/>
  <c r="J20" i="7"/>
  <c r="K20" i="7"/>
  <c r="L20" i="7"/>
  <c r="M20" i="7"/>
  <c r="N20" i="7"/>
  <c r="C21" i="7"/>
  <c r="D21" i="7"/>
  <c r="E21" i="7"/>
  <c r="F21" i="7"/>
  <c r="G21" i="7"/>
  <c r="H21" i="7"/>
  <c r="I21" i="7"/>
  <c r="J21" i="7"/>
  <c r="K21" i="7"/>
  <c r="L21" i="7"/>
  <c r="M21" i="7"/>
  <c r="N21" i="7"/>
  <c r="C22" i="7"/>
  <c r="D22" i="7"/>
  <c r="E22" i="7"/>
  <c r="F22" i="7"/>
  <c r="G22" i="7"/>
  <c r="H22" i="7"/>
  <c r="I22" i="7"/>
  <c r="J22" i="7"/>
  <c r="K22" i="7"/>
  <c r="L22" i="7"/>
  <c r="M22" i="7"/>
  <c r="N22" i="7"/>
  <c r="C23" i="7"/>
  <c r="D23" i="7"/>
  <c r="E23" i="7"/>
  <c r="F23" i="7"/>
  <c r="G23" i="7"/>
  <c r="H23" i="7"/>
  <c r="I23" i="7"/>
  <c r="J23" i="7"/>
  <c r="K23" i="7"/>
  <c r="L23" i="7"/>
  <c r="M23" i="7"/>
  <c r="N23" i="7"/>
  <c r="C24" i="7"/>
  <c r="D24" i="7"/>
  <c r="E24" i="7"/>
  <c r="F24" i="7"/>
  <c r="G24" i="7"/>
  <c r="H24" i="7"/>
  <c r="I24" i="7"/>
  <c r="J24" i="7"/>
  <c r="K24" i="7"/>
  <c r="L24" i="7"/>
  <c r="M24" i="7"/>
  <c r="N24" i="7"/>
  <c r="C25" i="7"/>
  <c r="D25" i="7"/>
  <c r="E25" i="7"/>
  <c r="F25" i="7"/>
  <c r="G25" i="7"/>
  <c r="H25" i="7"/>
  <c r="I25" i="7"/>
  <c r="J25" i="7"/>
  <c r="K25" i="7"/>
  <c r="L25" i="7"/>
  <c r="M25" i="7"/>
  <c r="N25" i="7"/>
  <c r="C26" i="7"/>
  <c r="D26" i="7"/>
  <c r="E26" i="7"/>
  <c r="F26" i="7"/>
  <c r="G26" i="7"/>
  <c r="H26" i="7"/>
  <c r="I26" i="7"/>
  <c r="J26" i="7"/>
  <c r="K26" i="7"/>
  <c r="L26" i="7"/>
  <c r="M26" i="7"/>
  <c r="N26" i="7"/>
  <c r="C27" i="7"/>
  <c r="D27" i="7"/>
  <c r="E27" i="7"/>
  <c r="F27" i="7"/>
  <c r="G27" i="7"/>
  <c r="H27" i="7"/>
  <c r="I27" i="7"/>
  <c r="J27" i="7"/>
  <c r="K27" i="7"/>
  <c r="L27" i="7"/>
  <c r="M27" i="7"/>
  <c r="N27" i="7"/>
  <c r="B28" i="7"/>
  <c r="C28" i="7"/>
  <c r="D28" i="7"/>
  <c r="E28" i="7"/>
  <c r="F28" i="7"/>
  <c r="G28" i="7"/>
  <c r="H28" i="7"/>
  <c r="I28" i="7"/>
  <c r="J28" i="7"/>
  <c r="K28" i="7"/>
  <c r="L28" i="7"/>
  <c r="M28" i="7"/>
  <c r="N28" i="7"/>
  <c r="C29" i="7"/>
  <c r="D29" i="7"/>
  <c r="E29" i="7"/>
  <c r="F29" i="7"/>
  <c r="G29" i="7"/>
  <c r="H29" i="7"/>
  <c r="I29" i="7"/>
  <c r="J29" i="7"/>
  <c r="K29" i="7"/>
  <c r="L29" i="7"/>
  <c r="M29" i="7"/>
  <c r="N29" i="7"/>
  <c r="C30" i="7"/>
  <c r="D30" i="7"/>
  <c r="E30" i="7"/>
  <c r="F30" i="7"/>
  <c r="G30" i="7"/>
  <c r="H30" i="7"/>
  <c r="I30" i="7"/>
  <c r="J30" i="7"/>
  <c r="K30" i="7"/>
  <c r="L30" i="7"/>
  <c r="M30" i="7"/>
  <c r="N30" i="7"/>
  <c r="C31" i="7"/>
  <c r="D31" i="7"/>
  <c r="E31" i="7"/>
  <c r="F31" i="7"/>
  <c r="G31" i="7"/>
  <c r="H31" i="7"/>
  <c r="I31" i="7"/>
  <c r="J31" i="7"/>
  <c r="K31" i="7"/>
  <c r="L31" i="7"/>
  <c r="M31" i="7"/>
  <c r="N31" i="7"/>
  <c r="C32" i="7"/>
  <c r="D32" i="7"/>
  <c r="E32" i="7"/>
  <c r="F32" i="7"/>
  <c r="G32" i="7"/>
  <c r="H32" i="7"/>
  <c r="I32" i="7"/>
  <c r="J32" i="7"/>
  <c r="K32" i="7"/>
  <c r="L32" i="7"/>
  <c r="M32" i="7"/>
  <c r="N32" i="7"/>
  <c r="C33" i="7"/>
  <c r="D33" i="7"/>
  <c r="E33" i="7"/>
  <c r="F33" i="7"/>
  <c r="G33" i="7"/>
  <c r="H33" i="7"/>
  <c r="I33" i="7"/>
  <c r="J33" i="7"/>
  <c r="K33" i="7"/>
  <c r="L33" i="7"/>
  <c r="M33" i="7"/>
  <c r="N33" i="7"/>
  <c r="C34" i="7"/>
  <c r="D34" i="7"/>
  <c r="E34" i="7"/>
  <c r="F34" i="7"/>
  <c r="G34" i="7"/>
  <c r="H34" i="7"/>
  <c r="I34" i="7"/>
  <c r="J34" i="7"/>
  <c r="K34" i="7"/>
  <c r="L34" i="7"/>
  <c r="M34" i="7"/>
  <c r="N34" i="7"/>
  <c r="C35" i="7"/>
  <c r="D35" i="7"/>
  <c r="E35" i="7"/>
  <c r="F35" i="7"/>
  <c r="G35" i="7"/>
  <c r="H35" i="7"/>
  <c r="I35" i="7"/>
  <c r="J35" i="7"/>
  <c r="K35" i="7"/>
  <c r="L35" i="7"/>
  <c r="M35" i="7"/>
  <c r="N35" i="7"/>
  <c r="C36" i="7"/>
  <c r="D36" i="7"/>
  <c r="E36" i="7"/>
  <c r="F36" i="7"/>
  <c r="G36" i="7"/>
  <c r="H36" i="7"/>
  <c r="I36" i="7"/>
  <c r="J36" i="7"/>
  <c r="K36" i="7"/>
  <c r="L36" i="7"/>
  <c r="M36" i="7"/>
  <c r="N36" i="7"/>
  <c r="C37" i="7"/>
  <c r="D37" i="7"/>
  <c r="E37" i="7"/>
  <c r="F37" i="7"/>
  <c r="G37" i="7"/>
  <c r="H37" i="7"/>
  <c r="I37" i="7"/>
  <c r="J37" i="7"/>
  <c r="K37" i="7"/>
  <c r="L37" i="7"/>
  <c r="M37" i="7"/>
  <c r="N37" i="7"/>
  <c r="C38" i="7"/>
  <c r="D38" i="7"/>
  <c r="E38" i="7"/>
  <c r="F38" i="7"/>
  <c r="G38" i="7"/>
  <c r="H38" i="7"/>
  <c r="I38" i="7"/>
  <c r="J38" i="7"/>
  <c r="K38" i="7"/>
  <c r="L38" i="7"/>
  <c r="M38" i="7"/>
  <c r="N38" i="7"/>
  <c r="C39" i="7"/>
  <c r="D39" i="7"/>
  <c r="E39" i="7"/>
  <c r="F39" i="7"/>
  <c r="G39" i="7"/>
  <c r="H39" i="7"/>
  <c r="I39" i="7"/>
  <c r="J39" i="7"/>
  <c r="K39" i="7"/>
  <c r="L39" i="7"/>
  <c r="M39" i="7"/>
  <c r="N39" i="7"/>
  <c r="B40" i="7"/>
  <c r="C40" i="7"/>
  <c r="D40" i="7"/>
  <c r="E40" i="7"/>
  <c r="F40" i="7"/>
  <c r="G40" i="7"/>
  <c r="H40" i="7"/>
  <c r="I40" i="7"/>
  <c r="J40" i="7"/>
  <c r="K40" i="7"/>
  <c r="L40" i="7"/>
  <c r="M40" i="7"/>
  <c r="N40" i="7"/>
  <c r="C41" i="7"/>
  <c r="D41" i="7"/>
  <c r="E41" i="7"/>
  <c r="F41" i="7"/>
  <c r="G41" i="7"/>
  <c r="H41" i="7"/>
  <c r="I41" i="7"/>
  <c r="J41" i="7"/>
  <c r="K41" i="7"/>
  <c r="L41" i="7"/>
  <c r="M41" i="7"/>
  <c r="N41" i="7"/>
  <c r="C42" i="7"/>
  <c r="D42" i="7"/>
  <c r="E42" i="7"/>
  <c r="F42" i="7"/>
  <c r="G42" i="7"/>
  <c r="H42" i="7"/>
  <c r="I42" i="7"/>
  <c r="J42" i="7"/>
  <c r="K42" i="7"/>
  <c r="L42" i="7"/>
  <c r="M42" i="7"/>
  <c r="N42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C44" i="7"/>
  <c r="D44" i="7"/>
  <c r="E44" i="7"/>
  <c r="F44" i="7"/>
  <c r="G44" i="7"/>
  <c r="H44" i="7"/>
  <c r="I44" i="7"/>
  <c r="J44" i="7"/>
  <c r="K44" i="7"/>
  <c r="L44" i="7"/>
  <c r="M44" i="7"/>
  <c r="N44" i="7"/>
  <c r="C45" i="7"/>
  <c r="D45" i="7"/>
  <c r="E45" i="7"/>
  <c r="F45" i="7"/>
  <c r="G45" i="7"/>
  <c r="H45" i="7"/>
  <c r="I45" i="7"/>
  <c r="J45" i="7"/>
  <c r="K45" i="7"/>
  <c r="L45" i="7"/>
  <c r="M45" i="7"/>
  <c r="N45" i="7"/>
  <c r="C46" i="7"/>
  <c r="D46" i="7"/>
  <c r="E46" i="7"/>
  <c r="F46" i="7"/>
  <c r="G46" i="7"/>
  <c r="H46" i="7"/>
  <c r="I46" i="7"/>
  <c r="J46" i="7"/>
  <c r="K46" i="7"/>
  <c r="L46" i="7"/>
  <c r="M46" i="7"/>
  <c r="N46" i="7"/>
  <c r="C47" i="7"/>
  <c r="D47" i="7"/>
  <c r="E47" i="7"/>
  <c r="F47" i="7"/>
  <c r="G47" i="7"/>
  <c r="H47" i="7"/>
  <c r="I47" i="7"/>
  <c r="J47" i="7"/>
  <c r="K47" i="7"/>
  <c r="L47" i="7"/>
  <c r="M47" i="7"/>
  <c r="N47" i="7"/>
  <c r="C48" i="7"/>
  <c r="D48" i="7"/>
  <c r="E48" i="7"/>
  <c r="F48" i="7"/>
  <c r="G48" i="7"/>
  <c r="H48" i="7"/>
  <c r="I48" i="7"/>
  <c r="J48" i="7"/>
  <c r="K48" i="7"/>
  <c r="L48" i="7"/>
  <c r="M48" i="7"/>
  <c r="N48" i="7"/>
  <c r="B49" i="7"/>
  <c r="C49" i="7"/>
  <c r="D49" i="7"/>
  <c r="E49" i="7"/>
  <c r="F49" i="7"/>
  <c r="G49" i="7"/>
  <c r="H49" i="7"/>
  <c r="I49" i="7"/>
  <c r="J49" i="7"/>
  <c r="K49" i="7"/>
  <c r="L49" i="7"/>
  <c r="M49" i="7"/>
  <c r="N49" i="7"/>
  <c r="C50" i="7"/>
  <c r="D50" i="7"/>
  <c r="E50" i="7"/>
  <c r="F50" i="7"/>
  <c r="G50" i="7"/>
  <c r="H50" i="7"/>
  <c r="I50" i="7"/>
  <c r="J50" i="7"/>
  <c r="K50" i="7"/>
  <c r="L50" i="7"/>
  <c r="M50" i="7"/>
  <c r="N50" i="7"/>
  <c r="C51" i="7"/>
  <c r="D51" i="7"/>
  <c r="E51" i="7"/>
  <c r="F51" i="7"/>
  <c r="G51" i="7"/>
  <c r="H51" i="7"/>
  <c r="I51" i="7"/>
  <c r="J51" i="7"/>
  <c r="K51" i="7"/>
  <c r="L51" i="7"/>
  <c r="M51" i="7"/>
  <c r="N51" i="7"/>
  <c r="B52" i="7"/>
  <c r="C52" i="7"/>
  <c r="D52" i="7"/>
  <c r="E52" i="7"/>
  <c r="F52" i="7"/>
  <c r="G52" i="7"/>
  <c r="H52" i="7"/>
  <c r="I52" i="7"/>
  <c r="J52" i="7"/>
  <c r="K52" i="7"/>
  <c r="L52" i="7"/>
  <c r="M52" i="7"/>
  <c r="N52" i="7"/>
  <c r="C53" i="7"/>
  <c r="D53" i="7"/>
  <c r="E53" i="7"/>
  <c r="F53" i="7"/>
  <c r="G53" i="7"/>
  <c r="H53" i="7"/>
  <c r="I53" i="7"/>
  <c r="J53" i="7"/>
  <c r="K53" i="7"/>
  <c r="L53" i="7"/>
  <c r="M53" i="7"/>
  <c r="N53" i="7"/>
  <c r="C54" i="7"/>
  <c r="D54" i="7"/>
  <c r="E54" i="7"/>
  <c r="F54" i="7"/>
  <c r="G54" i="7"/>
  <c r="H54" i="7"/>
  <c r="I54" i="7"/>
  <c r="J54" i="7"/>
  <c r="K54" i="7"/>
  <c r="L54" i="7"/>
  <c r="M54" i="7"/>
  <c r="N54" i="7"/>
  <c r="C55" i="7"/>
  <c r="D55" i="7"/>
  <c r="E55" i="7"/>
  <c r="F55" i="7"/>
  <c r="G55" i="7"/>
  <c r="H55" i="7"/>
  <c r="I55" i="7"/>
  <c r="J55" i="7"/>
  <c r="K55" i="7"/>
  <c r="L55" i="7"/>
  <c r="M55" i="7"/>
  <c r="N55" i="7"/>
  <c r="C56" i="7"/>
  <c r="D56" i="7"/>
  <c r="E56" i="7"/>
  <c r="F56" i="7"/>
  <c r="G56" i="7"/>
  <c r="H56" i="7"/>
  <c r="I56" i="7"/>
  <c r="J56" i="7"/>
  <c r="K56" i="7"/>
  <c r="L56" i="7"/>
  <c r="M56" i="7"/>
  <c r="N56" i="7"/>
  <c r="C57" i="7"/>
  <c r="D57" i="7"/>
  <c r="E57" i="7"/>
  <c r="F57" i="7"/>
  <c r="G57" i="7"/>
  <c r="H57" i="7"/>
  <c r="I57" i="7"/>
  <c r="J57" i="7"/>
  <c r="K57" i="7"/>
  <c r="L57" i="7"/>
  <c r="M57" i="7"/>
  <c r="N57" i="7"/>
  <c r="C58" i="7"/>
  <c r="D58" i="7"/>
  <c r="E58" i="7"/>
  <c r="F58" i="7"/>
  <c r="G58" i="7"/>
  <c r="H58" i="7"/>
  <c r="I58" i="7"/>
  <c r="J58" i="7"/>
  <c r="K58" i="7"/>
  <c r="L58" i="7"/>
  <c r="M58" i="7"/>
  <c r="N58" i="7"/>
  <c r="C59" i="7"/>
  <c r="D59" i="7"/>
  <c r="E59" i="7"/>
  <c r="F59" i="7"/>
  <c r="G59" i="7"/>
  <c r="H59" i="7"/>
  <c r="I59" i="7"/>
  <c r="J59" i="7"/>
  <c r="K59" i="7"/>
  <c r="L59" i="7"/>
  <c r="M59" i="7"/>
  <c r="N59" i="7"/>
  <c r="C60" i="7"/>
  <c r="D60" i="7"/>
  <c r="E60" i="7"/>
  <c r="F60" i="7"/>
  <c r="G60" i="7"/>
  <c r="H60" i="7"/>
  <c r="I60" i="7"/>
  <c r="J60" i="7"/>
  <c r="K60" i="7"/>
  <c r="L60" i="7"/>
  <c r="M60" i="7"/>
  <c r="N60" i="7"/>
  <c r="C61" i="7"/>
  <c r="D61" i="7"/>
  <c r="E61" i="7"/>
  <c r="F61" i="7"/>
  <c r="G61" i="7"/>
  <c r="H61" i="7"/>
  <c r="I61" i="7"/>
  <c r="J61" i="7"/>
  <c r="K61" i="7"/>
  <c r="L61" i="7"/>
  <c r="M61" i="7"/>
  <c r="N61" i="7"/>
  <c r="C62" i="7"/>
  <c r="D62" i="7"/>
  <c r="E62" i="7"/>
  <c r="F62" i="7"/>
  <c r="G62" i="7"/>
  <c r="H62" i="7"/>
  <c r="I62" i="7"/>
  <c r="J62" i="7"/>
  <c r="K62" i="7"/>
  <c r="L62" i="7"/>
  <c r="M62" i="7"/>
  <c r="N62" i="7"/>
  <c r="C63" i="7"/>
  <c r="D63" i="7"/>
  <c r="E63" i="7"/>
  <c r="F63" i="7"/>
  <c r="G63" i="7"/>
  <c r="H63" i="7"/>
  <c r="I63" i="7"/>
  <c r="J63" i="7"/>
  <c r="K63" i="7"/>
  <c r="L63" i="7"/>
  <c r="M63" i="7"/>
  <c r="N63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C65" i="7"/>
  <c r="D65" i="7"/>
  <c r="E65" i="7"/>
  <c r="F65" i="7"/>
  <c r="G65" i="7"/>
  <c r="H65" i="7"/>
  <c r="I65" i="7"/>
  <c r="J65" i="7"/>
  <c r="K65" i="7"/>
  <c r="L65" i="7"/>
  <c r="M65" i="7"/>
  <c r="N65" i="7"/>
  <c r="C66" i="7"/>
  <c r="D66" i="7"/>
  <c r="E66" i="7"/>
  <c r="F66" i="7"/>
  <c r="G66" i="7"/>
  <c r="H66" i="7"/>
  <c r="I66" i="7"/>
  <c r="J66" i="7"/>
  <c r="K66" i="7"/>
  <c r="L66" i="7"/>
  <c r="M66" i="7"/>
  <c r="N66" i="7"/>
  <c r="C67" i="7"/>
  <c r="D67" i="7"/>
  <c r="E67" i="7"/>
  <c r="F67" i="7"/>
  <c r="G67" i="7"/>
  <c r="H67" i="7"/>
  <c r="I67" i="7"/>
  <c r="J67" i="7"/>
  <c r="K67" i="7"/>
  <c r="L67" i="7"/>
  <c r="M67" i="7"/>
  <c r="N67" i="7"/>
  <c r="C68" i="7"/>
  <c r="D68" i="7"/>
  <c r="E68" i="7"/>
  <c r="F68" i="7"/>
  <c r="G68" i="7"/>
  <c r="H68" i="7"/>
  <c r="I68" i="7"/>
  <c r="J68" i="7"/>
  <c r="K68" i="7"/>
  <c r="L68" i="7"/>
  <c r="M68" i="7"/>
  <c r="N68" i="7"/>
  <c r="C69" i="7"/>
  <c r="D69" i="7"/>
  <c r="E69" i="7"/>
  <c r="F69" i="7"/>
  <c r="G69" i="7"/>
  <c r="H69" i="7"/>
  <c r="I69" i="7"/>
  <c r="J69" i="7"/>
  <c r="K69" i="7"/>
  <c r="L69" i="7"/>
  <c r="M69" i="7"/>
  <c r="N69" i="7"/>
  <c r="C70" i="7"/>
  <c r="D70" i="7"/>
  <c r="E70" i="7"/>
  <c r="F70" i="7"/>
  <c r="G70" i="7"/>
  <c r="H70" i="7"/>
  <c r="I70" i="7"/>
  <c r="J70" i="7"/>
  <c r="K70" i="7"/>
  <c r="L70" i="7"/>
  <c r="M70" i="7"/>
  <c r="N70" i="7"/>
  <c r="C71" i="7"/>
  <c r="D71" i="7"/>
  <c r="E71" i="7"/>
  <c r="F71" i="7"/>
  <c r="G71" i="7"/>
  <c r="H71" i="7"/>
  <c r="I71" i="7"/>
  <c r="J71" i="7"/>
  <c r="K71" i="7"/>
  <c r="L71" i="7"/>
  <c r="M71" i="7"/>
  <c r="N71" i="7"/>
  <c r="C72" i="7"/>
  <c r="D72" i="7"/>
  <c r="E72" i="7"/>
  <c r="F72" i="7"/>
  <c r="G72" i="7"/>
  <c r="H72" i="7"/>
  <c r="I72" i="7"/>
  <c r="J72" i="7"/>
  <c r="K72" i="7"/>
  <c r="L72" i="7"/>
  <c r="M72" i="7"/>
  <c r="N72" i="7"/>
  <c r="C73" i="7"/>
  <c r="D73" i="7"/>
  <c r="E73" i="7"/>
  <c r="F73" i="7"/>
  <c r="G73" i="7"/>
  <c r="H73" i="7"/>
  <c r="I73" i="7"/>
  <c r="J73" i="7"/>
  <c r="K73" i="7"/>
  <c r="L73" i="7"/>
  <c r="M73" i="7"/>
  <c r="N73" i="7"/>
  <c r="C74" i="7"/>
  <c r="D74" i="7"/>
  <c r="E74" i="7"/>
  <c r="F74" i="7"/>
  <c r="G74" i="7"/>
  <c r="H74" i="7"/>
  <c r="I74" i="7"/>
  <c r="J74" i="7"/>
  <c r="K74" i="7"/>
  <c r="L74" i="7"/>
  <c r="M74" i="7"/>
  <c r="N74" i="7"/>
  <c r="C75" i="7"/>
  <c r="D75" i="7"/>
  <c r="E75" i="7"/>
  <c r="F75" i="7"/>
  <c r="G75" i="7"/>
  <c r="H75" i="7"/>
  <c r="I75" i="7"/>
  <c r="J75" i="7"/>
  <c r="K75" i="7"/>
  <c r="L75" i="7"/>
  <c r="M75" i="7"/>
  <c r="N75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C77" i="7"/>
  <c r="D77" i="7"/>
  <c r="E77" i="7"/>
  <c r="F77" i="7"/>
  <c r="G77" i="7"/>
  <c r="H77" i="7"/>
  <c r="I77" i="7"/>
  <c r="J77" i="7"/>
  <c r="K77" i="7"/>
  <c r="L77" i="7"/>
  <c r="M77" i="7"/>
  <c r="N77" i="7"/>
  <c r="C78" i="7"/>
  <c r="D78" i="7"/>
  <c r="E78" i="7"/>
  <c r="F78" i="7"/>
  <c r="G78" i="7"/>
  <c r="H78" i="7"/>
  <c r="I78" i="7"/>
  <c r="J78" i="7"/>
  <c r="K78" i="7"/>
  <c r="L78" i="7"/>
  <c r="M78" i="7"/>
  <c r="N78" i="7"/>
  <c r="C79" i="7"/>
  <c r="D79" i="7"/>
  <c r="E79" i="7"/>
  <c r="F79" i="7"/>
  <c r="G79" i="7"/>
  <c r="H79" i="7"/>
  <c r="I79" i="7"/>
  <c r="J79" i="7"/>
  <c r="K79" i="7"/>
  <c r="L79" i="7"/>
  <c r="M79" i="7"/>
  <c r="N79" i="7"/>
  <c r="C80" i="7"/>
  <c r="D80" i="7"/>
  <c r="E80" i="7"/>
  <c r="F80" i="7"/>
  <c r="G80" i="7"/>
  <c r="H80" i="7"/>
  <c r="I80" i="7"/>
  <c r="J80" i="7"/>
  <c r="K80" i="7"/>
  <c r="L80" i="7"/>
  <c r="M80" i="7"/>
  <c r="N80" i="7"/>
  <c r="C81" i="7"/>
  <c r="D81" i="7"/>
  <c r="E81" i="7"/>
  <c r="F81" i="7"/>
  <c r="G81" i="7"/>
  <c r="H81" i="7"/>
  <c r="I81" i="7"/>
  <c r="J81" i="7"/>
  <c r="K81" i="7"/>
  <c r="L81" i="7"/>
  <c r="M81" i="7"/>
  <c r="N81" i="7"/>
  <c r="C82" i="7"/>
  <c r="D82" i="7"/>
  <c r="E82" i="7"/>
  <c r="F82" i="7"/>
  <c r="G82" i="7"/>
  <c r="H82" i="7"/>
  <c r="I82" i="7"/>
  <c r="J82" i="7"/>
  <c r="K82" i="7"/>
  <c r="L82" i="7"/>
  <c r="M82" i="7"/>
  <c r="N82" i="7"/>
  <c r="C83" i="7"/>
  <c r="D83" i="7"/>
  <c r="E83" i="7"/>
  <c r="F83" i="7"/>
  <c r="G83" i="7"/>
  <c r="H83" i="7"/>
  <c r="I83" i="7"/>
  <c r="J83" i="7"/>
  <c r="K83" i="7"/>
  <c r="L83" i="7"/>
  <c r="M83" i="7"/>
  <c r="N83" i="7"/>
  <c r="C84" i="7"/>
  <c r="D84" i="7"/>
  <c r="E84" i="7"/>
  <c r="F84" i="7"/>
  <c r="G84" i="7"/>
  <c r="H84" i="7"/>
  <c r="I84" i="7"/>
  <c r="J84" i="7"/>
  <c r="K84" i="7"/>
  <c r="L84" i="7"/>
  <c r="M84" i="7"/>
  <c r="N84" i="7"/>
  <c r="C85" i="7"/>
  <c r="D85" i="7"/>
  <c r="E85" i="7"/>
  <c r="F85" i="7"/>
  <c r="G85" i="7"/>
  <c r="H85" i="7"/>
  <c r="I85" i="7"/>
  <c r="J85" i="7"/>
  <c r="K85" i="7"/>
  <c r="L85" i="7"/>
  <c r="M85" i="7"/>
  <c r="N85" i="7"/>
  <c r="C86" i="7"/>
  <c r="D86" i="7"/>
  <c r="E86" i="7"/>
  <c r="F86" i="7"/>
  <c r="G86" i="7"/>
  <c r="H86" i="7"/>
  <c r="I86" i="7"/>
  <c r="J86" i="7"/>
  <c r="K86" i="7"/>
  <c r="L86" i="7"/>
  <c r="M86" i="7"/>
  <c r="N86" i="7"/>
  <c r="C87" i="7"/>
  <c r="D87" i="7"/>
  <c r="E87" i="7"/>
  <c r="F87" i="7"/>
  <c r="G87" i="7"/>
  <c r="H87" i="7"/>
  <c r="I87" i="7"/>
  <c r="J87" i="7"/>
  <c r="K87" i="7"/>
  <c r="L87" i="7"/>
  <c r="M87" i="7"/>
  <c r="N87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C89" i="7"/>
  <c r="D89" i="7"/>
  <c r="E89" i="7"/>
  <c r="F89" i="7"/>
  <c r="G89" i="7"/>
  <c r="H89" i="7"/>
  <c r="I89" i="7"/>
  <c r="J89" i="7"/>
  <c r="K89" i="7"/>
  <c r="L89" i="7"/>
  <c r="M89" i="7"/>
  <c r="N89" i="7"/>
  <c r="C90" i="7"/>
  <c r="D90" i="7"/>
  <c r="E90" i="7"/>
  <c r="F90" i="7"/>
  <c r="G90" i="7"/>
  <c r="H90" i="7"/>
  <c r="I90" i="7"/>
  <c r="J90" i="7"/>
  <c r="K90" i="7"/>
  <c r="L90" i="7"/>
  <c r="M90" i="7"/>
  <c r="N90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C92" i="7"/>
  <c r="D92" i="7"/>
  <c r="E92" i="7"/>
  <c r="F92" i="7"/>
  <c r="G92" i="7"/>
  <c r="H92" i="7"/>
  <c r="I92" i="7"/>
  <c r="J92" i="7"/>
  <c r="K92" i="7"/>
  <c r="L92" i="7"/>
  <c r="M92" i="7"/>
  <c r="N92" i="7"/>
  <c r="C93" i="7"/>
  <c r="D93" i="7"/>
  <c r="E93" i="7"/>
  <c r="F93" i="7"/>
  <c r="G93" i="7"/>
  <c r="H93" i="7"/>
  <c r="I93" i="7"/>
  <c r="J93" i="7"/>
  <c r="K93" i="7"/>
  <c r="L93" i="7"/>
  <c r="M93" i="7"/>
  <c r="N93" i="7"/>
  <c r="C94" i="7"/>
  <c r="D94" i="7"/>
  <c r="E94" i="7"/>
  <c r="F94" i="7"/>
  <c r="G94" i="7"/>
  <c r="H94" i="7"/>
  <c r="I94" i="7"/>
  <c r="J94" i="7"/>
  <c r="K94" i="7"/>
  <c r="L94" i="7"/>
  <c r="M94" i="7"/>
  <c r="N94" i="7"/>
  <c r="C95" i="7"/>
  <c r="D95" i="7"/>
  <c r="E95" i="7"/>
  <c r="F95" i="7"/>
  <c r="G95" i="7"/>
  <c r="H95" i="7"/>
  <c r="I95" i="7"/>
  <c r="J95" i="7"/>
  <c r="K95" i="7"/>
  <c r="L95" i="7"/>
  <c r="M95" i="7"/>
  <c r="N95" i="7"/>
  <c r="C96" i="7"/>
  <c r="D96" i="7"/>
  <c r="E96" i="7"/>
  <c r="F96" i="7"/>
  <c r="G96" i="7"/>
  <c r="H96" i="7"/>
  <c r="I96" i="7"/>
  <c r="J96" i="7"/>
  <c r="K96" i="7"/>
  <c r="L96" i="7"/>
  <c r="M96" i="7"/>
  <c r="N96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C98" i="7"/>
  <c r="D98" i="7"/>
  <c r="E98" i="7"/>
  <c r="F98" i="7"/>
  <c r="G98" i="7"/>
  <c r="H98" i="7"/>
  <c r="I98" i="7"/>
  <c r="J98" i="7"/>
  <c r="K98" i="7"/>
  <c r="L98" i="7"/>
  <c r="M98" i="7"/>
  <c r="N98" i="7"/>
  <c r="C99" i="7"/>
  <c r="D99" i="7"/>
  <c r="E99" i="7"/>
  <c r="F99" i="7"/>
  <c r="G99" i="7"/>
  <c r="H99" i="7"/>
  <c r="I99" i="7"/>
  <c r="J99" i="7"/>
  <c r="K99" i="7"/>
  <c r="L99" i="7"/>
  <c r="M99" i="7"/>
  <c r="N99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B3" i="5"/>
  <c r="J3" i="5"/>
  <c r="L3" i="5"/>
  <c r="M3" i="5"/>
  <c r="U3" i="5"/>
  <c r="B4" i="5"/>
  <c r="C4" i="5"/>
  <c r="D4" i="5"/>
  <c r="E4" i="5"/>
  <c r="F4" i="5"/>
  <c r="G4" i="5"/>
  <c r="H4" i="5"/>
  <c r="I4" i="5"/>
  <c r="J4" i="5"/>
  <c r="K4" i="5"/>
  <c r="M4" i="5"/>
  <c r="N4" i="5"/>
  <c r="O4" i="5"/>
  <c r="P4" i="5"/>
  <c r="Q4" i="5"/>
  <c r="R4" i="5"/>
  <c r="S4" i="5"/>
  <c r="T4" i="5"/>
  <c r="U4" i="5"/>
  <c r="V4" i="5"/>
  <c r="W4" i="5"/>
  <c r="X4" i="5"/>
  <c r="Z4" i="5"/>
  <c r="AA4" i="5"/>
  <c r="L6" i="5"/>
  <c r="AA6" i="5"/>
  <c r="L7" i="5"/>
  <c r="L8" i="5"/>
  <c r="AA8" i="5"/>
  <c r="L9" i="5"/>
  <c r="AA9" i="5"/>
  <c r="L10" i="5"/>
  <c r="L11" i="5"/>
  <c r="L13" i="5"/>
  <c r="AA13" i="5"/>
  <c r="L14" i="5"/>
  <c r="L15" i="5"/>
  <c r="L16" i="5"/>
  <c r="L17" i="5"/>
  <c r="N17" i="5"/>
  <c r="L18" i="5"/>
  <c r="E20" i="5"/>
  <c r="L21" i="5"/>
  <c r="L22" i="5"/>
  <c r="L23" i="5"/>
  <c r="L24" i="5"/>
  <c r="L25" i="5"/>
  <c r="C26" i="5"/>
  <c r="L26" i="5"/>
  <c r="N26" i="5"/>
  <c r="Z26" i="5"/>
  <c r="L27" i="5"/>
  <c r="L29" i="5"/>
  <c r="L30" i="5"/>
  <c r="Z30" i="5"/>
  <c r="L31" i="5"/>
  <c r="L32" i="5"/>
  <c r="AA32" i="5"/>
  <c r="L33" i="5"/>
  <c r="L34" i="5"/>
  <c r="Z34" i="5"/>
  <c r="AA34" i="5"/>
  <c r="L36" i="5"/>
  <c r="L37" i="5"/>
  <c r="L38" i="5"/>
  <c r="AA38" i="5"/>
  <c r="L39" i="5"/>
  <c r="AX31" i="1" l="1"/>
  <c r="T23" i="1"/>
  <c r="E24" i="5" s="1"/>
  <c r="T22" i="1"/>
  <c r="E23" i="5" s="1"/>
  <c r="T21" i="1"/>
  <c r="E22" i="5" s="1"/>
  <c r="T18" i="1"/>
  <c r="E19" i="5" s="1"/>
  <c r="T17" i="1"/>
  <c r="E18" i="5" s="1"/>
  <c r="T16" i="1"/>
  <c r="E17" i="5" s="1"/>
  <c r="T14" i="1"/>
  <c r="E15" i="5" s="1"/>
  <c r="T13" i="1"/>
  <c r="E14" i="5" s="1"/>
  <c r="T12" i="1"/>
  <c r="E13" i="5" s="1"/>
  <c r="T10" i="1"/>
  <c r="E11" i="5" s="1"/>
  <c r="T9" i="1"/>
  <c r="E10" i="5" s="1"/>
  <c r="T8" i="1"/>
  <c r="E9" i="5" s="1"/>
  <c r="T6" i="1"/>
  <c r="E7" i="5" s="1"/>
  <c r="T5" i="1"/>
  <c r="E6" i="5" s="1"/>
  <c r="Q12" i="1"/>
  <c r="B13" i="5" s="1"/>
  <c r="Q4" i="1"/>
  <c r="AX19" i="1"/>
  <c r="Z35" i="1"/>
  <c r="J36" i="5" s="1"/>
  <c r="Z29" i="1"/>
  <c r="J30" i="5" s="1"/>
  <c r="T4" i="1"/>
  <c r="H41" i="1"/>
  <c r="AY26" i="1"/>
  <c r="AX10" i="1"/>
  <c r="AE13" i="1"/>
  <c r="M14" i="5" s="1"/>
  <c r="BP38" i="1"/>
  <c r="T34" i="1"/>
  <c r="E35" i="5" s="1"/>
  <c r="BP13" i="1"/>
  <c r="BP11" i="1"/>
  <c r="BP14" i="1"/>
  <c r="BP8" i="1"/>
  <c r="BP22" i="1"/>
  <c r="BU22" i="1"/>
  <c r="Z20" i="1"/>
  <c r="J21" i="5" s="1"/>
  <c r="Z18" i="1"/>
  <c r="J19" i="5" s="1"/>
  <c r="Z16" i="1"/>
  <c r="J17" i="5" s="1"/>
  <c r="Z14" i="1"/>
  <c r="J15" i="5" s="1"/>
  <c r="Z12" i="1"/>
  <c r="J13" i="5" s="1"/>
  <c r="AT19" i="1"/>
  <c r="AA20" i="5" s="1"/>
  <c r="T38" i="1"/>
  <c r="E39" i="5" s="1"/>
  <c r="Z26" i="1"/>
  <c r="J27" i="5" s="1"/>
  <c r="Z23" i="1"/>
  <c r="J24" i="5" s="1"/>
  <c r="Z21" i="1"/>
  <c r="J22" i="5" s="1"/>
  <c r="Z19" i="1"/>
  <c r="J20" i="5" s="1"/>
  <c r="Z17" i="1"/>
  <c r="J18" i="5" s="1"/>
  <c r="Z15" i="1"/>
  <c r="J16" i="5" s="1"/>
  <c r="Z11" i="1"/>
  <c r="J12" i="5" s="1"/>
  <c r="Z7" i="1"/>
  <c r="J8" i="5" s="1"/>
  <c r="Z5" i="1"/>
  <c r="J6" i="5" s="1"/>
  <c r="H161" i="1"/>
  <c r="E5" i="5"/>
  <c r="AH13" i="1"/>
  <c r="P14" i="5" s="1"/>
  <c r="AE23" i="1"/>
  <c r="M24" i="5" s="1"/>
  <c r="AE20" i="1"/>
  <c r="M21" i="5" s="1"/>
  <c r="L167" i="1"/>
  <c r="BU26" i="1"/>
  <c r="Q19" i="1"/>
  <c r="B20" i="5" s="1"/>
  <c r="K159" i="1"/>
  <c r="AE29" i="1"/>
  <c r="M30" i="5" s="1"/>
  <c r="AE24" i="1"/>
  <c r="M25" i="5" s="1"/>
  <c r="Q23" i="1"/>
  <c r="B24" i="5" s="1"/>
  <c r="AH20" i="1"/>
  <c r="P21" i="5" s="1"/>
  <c r="BU29" i="1"/>
  <c r="H162" i="1"/>
  <c r="AE19" i="1"/>
  <c r="M20" i="5" s="1"/>
  <c r="AS10" i="1"/>
  <c r="Z11" i="5" s="1"/>
  <c r="AE35" i="1"/>
  <c r="M36" i="5" s="1"/>
  <c r="AF35" i="1"/>
  <c r="N36" i="5" s="1"/>
  <c r="J166" i="1"/>
  <c r="AE8" i="1"/>
  <c r="M9" i="5" s="1"/>
  <c r="AG8" i="1"/>
  <c r="O9" i="5" s="1"/>
  <c r="BU32" i="1"/>
  <c r="Z32" i="1"/>
  <c r="J33" i="5" s="1"/>
  <c r="BU30" i="1"/>
  <c r="BU9" i="1"/>
  <c r="Z9" i="1"/>
  <c r="J10" i="5" s="1"/>
  <c r="R35" i="1"/>
  <c r="C36" i="5" s="1"/>
  <c r="Q35" i="1"/>
  <c r="B36" i="5" s="1"/>
  <c r="Q20" i="1"/>
  <c r="B21" i="5" s="1"/>
  <c r="R20" i="1"/>
  <c r="C21" i="5" s="1"/>
  <c r="Q14" i="1"/>
  <c r="B15" i="5" s="1"/>
  <c r="Q13" i="1"/>
  <c r="B14" i="5" s="1"/>
  <c r="Q7" i="1"/>
  <c r="B8" i="5" s="1"/>
  <c r="Q6" i="1"/>
  <c r="B7" i="5" s="1"/>
  <c r="R6" i="1"/>
  <c r="C7" i="5" s="1"/>
  <c r="AE27" i="1"/>
  <c r="M28" i="5" s="1"/>
  <c r="AF27" i="1"/>
  <c r="N28" i="5" s="1"/>
  <c r="K161" i="1"/>
  <c r="I163" i="1"/>
  <c r="K164" i="1"/>
  <c r="AF6" i="1"/>
  <c r="N7" i="5" s="1"/>
  <c r="AE32" i="1"/>
  <c r="M33" i="5" s="1"/>
  <c r="AE12" i="1"/>
  <c r="M13" i="5" s="1"/>
  <c r="S19" i="1"/>
  <c r="D20" i="5" s="1"/>
  <c r="AG29" i="1"/>
  <c r="O30" i="5" s="1"/>
  <c r="AE28" i="1"/>
  <c r="M29" i="5" s="1"/>
  <c r="AG28" i="1"/>
  <c r="O29" i="5" s="1"/>
  <c r="AE10" i="1"/>
  <c r="M11" i="5" s="1"/>
  <c r="AF10" i="1"/>
  <c r="N11" i="5" s="1"/>
  <c r="D5" i="5"/>
  <c r="L166" i="1"/>
  <c r="N167" i="1"/>
  <c r="AE36" i="1"/>
  <c r="M37" i="5" s="1"/>
  <c r="M168" i="1"/>
  <c r="M161" i="1"/>
  <c r="AE17" i="1"/>
  <c r="Z37" i="1"/>
  <c r="J38" i="5" s="1"/>
  <c r="BU19" i="1"/>
  <c r="BU17" i="1"/>
  <c r="Q36" i="1"/>
  <c r="B37" i="5" s="1"/>
  <c r="T30" i="1"/>
  <c r="E31" i="5" s="1"/>
  <c r="T28" i="1"/>
  <c r="E29" i="5" s="1"/>
  <c r="E40" i="1"/>
  <c r="BU35" i="1"/>
  <c r="I164" i="1"/>
  <c r="H160" i="1"/>
  <c r="AS24" i="1"/>
  <c r="Z25" i="5" s="1"/>
  <c r="Z22" i="1"/>
  <c r="J23" i="5" s="1"/>
  <c r="AX30" i="1"/>
  <c r="Z36" i="1"/>
  <c r="J37" i="5" s="1"/>
  <c r="BU36" i="1"/>
  <c r="BU34" i="1"/>
  <c r="Z34" i="1"/>
  <c r="J35" i="5" s="1"/>
  <c r="BR24" i="1"/>
  <c r="Q24" i="1"/>
  <c r="B25" i="5" s="1"/>
  <c r="Q22" i="1"/>
  <c r="B23" i="5" s="1"/>
  <c r="R22" i="1"/>
  <c r="C23" i="5" s="1"/>
  <c r="Q21" i="1"/>
  <c r="B22" i="5" s="1"/>
  <c r="R21" i="1"/>
  <c r="C22" i="5" s="1"/>
  <c r="Q18" i="1"/>
  <c r="B19" i="5" s="1"/>
  <c r="R18" i="1"/>
  <c r="C19" i="5" s="1"/>
  <c r="Q5" i="1"/>
  <c r="B6" i="5" s="1"/>
  <c r="R5" i="1"/>
  <c r="C6" i="5" s="1"/>
  <c r="B5" i="5"/>
  <c r="R4" i="1"/>
  <c r="C5" i="5" s="1"/>
  <c r="N161" i="1"/>
  <c r="N164" i="1"/>
  <c r="AX36" i="1"/>
  <c r="AT36" i="1"/>
  <c r="AA37" i="5" s="1"/>
  <c r="BU24" i="1"/>
  <c r="Z24" i="1"/>
  <c r="J25" i="5" s="1"/>
  <c r="Z25" i="1"/>
  <c r="J26" i="5" s="1"/>
  <c r="BU25" i="1"/>
  <c r="K165" i="1"/>
  <c r="AY9" i="1"/>
  <c r="AS9" i="1"/>
  <c r="Z10" i="5" s="1"/>
  <c r="C159" i="1"/>
  <c r="N159" i="1"/>
  <c r="F159" i="1"/>
  <c r="J159" i="1"/>
  <c r="AG38" i="1"/>
  <c r="O39" i="5" s="1"/>
  <c r="AE38" i="1"/>
  <c r="M39" i="5" s="1"/>
  <c r="AF33" i="1"/>
  <c r="N34" i="5" s="1"/>
  <c r="AE33" i="1"/>
  <c r="M34" i="5" s="1"/>
  <c r="AG30" i="1"/>
  <c r="O31" i="5" s="1"/>
  <c r="AE30" i="1"/>
  <c r="M31" i="5" s="1"/>
  <c r="AE26" i="1"/>
  <c r="M27" i="5" s="1"/>
  <c r="AG26" i="1"/>
  <c r="O27" i="5" s="1"/>
  <c r="AH22" i="1"/>
  <c r="P23" i="5" s="1"/>
  <c r="AE22" i="1"/>
  <c r="M23" i="5" s="1"/>
  <c r="AG21" i="1"/>
  <c r="O22" i="5" s="1"/>
  <c r="AE21" i="1"/>
  <c r="M22" i="5" s="1"/>
  <c r="BX20" i="1"/>
  <c r="AF20" i="1"/>
  <c r="N21" i="5" s="1"/>
  <c r="AH18" i="1"/>
  <c r="P19" i="5" s="1"/>
  <c r="AE18" i="1"/>
  <c r="M19" i="5" s="1"/>
  <c r="AH14" i="1"/>
  <c r="P15" i="5" s="1"/>
  <c r="AE14" i="1"/>
  <c r="M15" i="5" s="1"/>
  <c r="BX12" i="1"/>
  <c r="AF12" i="1"/>
  <c r="N13" i="5" s="1"/>
  <c r="AH6" i="1"/>
  <c r="P7" i="5" s="1"/>
  <c r="M166" i="1"/>
  <c r="M169" i="1"/>
  <c r="AE6" i="1"/>
  <c r="M7" i="5" s="1"/>
  <c r="M162" i="1"/>
  <c r="AG5" i="1"/>
  <c r="O6" i="5" s="1"/>
  <c r="L161" i="1"/>
  <c r="L164" i="1"/>
  <c r="AE5" i="1"/>
  <c r="M6" i="5" s="1"/>
  <c r="L40" i="1"/>
  <c r="L168" i="1"/>
  <c r="M167" i="1"/>
  <c r="AE4" i="1"/>
  <c r="M5" i="5" s="1"/>
  <c r="AF4" i="1"/>
  <c r="N5" i="5" s="1"/>
  <c r="K160" i="1"/>
  <c r="K166" i="1"/>
  <c r="K167" i="1"/>
  <c r="T37" i="1"/>
  <c r="E38" i="5" s="1"/>
  <c r="Q37" i="1"/>
  <c r="B38" i="5" s="1"/>
  <c r="T35" i="1"/>
  <c r="E36" i="5" s="1"/>
  <c r="BP35" i="1"/>
  <c r="T33" i="1"/>
  <c r="E34" i="5" s="1"/>
  <c r="Q33" i="1"/>
  <c r="B34" i="5" s="1"/>
  <c r="BP31" i="1"/>
  <c r="T31" i="1"/>
  <c r="E32" i="5" s="1"/>
  <c r="Q31" i="1"/>
  <c r="B32" i="5" s="1"/>
  <c r="T29" i="1"/>
  <c r="E30" i="5" s="1"/>
  <c r="Q29" i="1"/>
  <c r="B30" i="5" s="1"/>
  <c r="Q27" i="1"/>
  <c r="B28" i="5" s="1"/>
  <c r="T27" i="1"/>
  <c r="E28" i="5" s="1"/>
  <c r="T26" i="1"/>
  <c r="E27" i="5" s="1"/>
  <c r="H164" i="1"/>
  <c r="Q26" i="1"/>
  <c r="B27" i="5" s="1"/>
  <c r="BU10" i="1"/>
  <c r="F161" i="1"/>
  <c r="Z10" i="1"/>
  <c r="J11" i="5" s="1"/>
  <c r="S25" i="1"/>
  <c r="D26" i="5" s="1"/>
  <c r="J161" i="1"/>
  <c r="J164" i="1"/>
  <c r="AG34" i="1"/>
  <c r="O35" i="5" s="1"/>
  <c r="AE34" i="1"/>
  <c r="M35" i="5" s="1"/>
  <c r="N169" i="1"/>
  <c r="N166" i="1"/>
  <c r="M164" i="1"/>
  <c r="L162" i="1"/>
  <c r="M40" i="1"/>
  <c r="R24" i="1"/>
  <c r="C25" i="5" s="1"/>
  <c r="AE9" i="1"/>
  <c r="M10" i="5" s="1"/>
  <c r="AX28" i="1"/>
  <c r="AY18" i="1"/>
  <c r="AX18" i="1"/>
  <c r="AT18" i="1"/>
  <c r="AA19" i="5" s="1"/>
  <c r="I162" i="1"/>
  <c r="L165" i="1"/>
  <c r="BP30" i="1"/>
  <c r="H40" i="1"/>
  <c r="N40" i="1"/>
  <c r="AX26" i="1"/>
  <c r="AX22" i="1"/>
  <c r="BU37" i="1"/>
  <c r="Z31" i="1"/>
  <c r="J32" i="5" s="1"/>
  <c r="BU8" i="1"/>
  <c r="BP33" i="1"/>
  <c r="BP28" i="1"/>
  <c r="BP27" i="1"/>
  <c r="BR21" i="1"/>
  <c r="T20" i="1"/>
  <c r="E21" i="5" s="1"/>
  <c r="BP19" i="1"/>
  <c r="BP18" i="1"/>
  <c r="Q17" i="1"/>
  <c r="B18" i="5" s="1"/>
  <c r="K40" i="1"/>
  <c r="C40" i="1"/>
  <c r="BR33" i="1"/>
  <c r="Q32" i="1"/>
  <c r="B33" i="5" s="1"/>
  <c r="Q28" i="1"/>
  <c r="B29" i="5" s="1"/>
  <c r="BP5" i="1"/>
  <c r="J40" i="1"/>
  <c r="AY31" i="1"/>
  <c r="AY22" i="1"/>
  <c r="AY21" i="1"/>
  <c r="AY19" i="1"/>
  <c r="AX9" i="1"/>
  <c r="BX32" i="1"/>
  <c r="BX28" i="1"/>
  <c r="BX23" i="1"/>
  <c r="BX7" i="1"/>
  <c r="Q38" i="1"/>
  <c r="B39" i="5" s="1"/>
  <c r="BR5" i="1"/>
  <c r="Q10" i="1"/>
  <c r="B11" i="5" s="1"/>
  <c r="R10" i="1"/>
  <c r="C11" i="5" s="1"/>
  <c r="R14" i="1"/>
  <c r="C15" i="5" s="1"/>
  <c r="R13" i="1"/>
  <c r="C14" i="5" s="1"/>
  <c r="AY6" i="1"/>
  <c r="AT6" i="1"/>
  <c r="AA7" i="5" s="1"/>
  <c r="AT4" i="1"/>
  <c r="AA5" i="5" s="1"/>
  <c r="D159" i="1"/>
  <c r="E160" i="1"/>
  <c r="I160" i="1"/>
  <c r="M160" i="1"/>
  <c r="F160" i="1"/>
  <c r="J160" i="1"/>
  <c r="N160" i="1"/>
  <c r="BU11" i="1"/>
  <c r="I165" i="1"/>
  <c r="M165" i="1"/>
  <c r="J165" i="1"/>
  <c r="BU6" i="1"/>
  <c r="F40" i="1"/>
  <c r="F162" i="1"/>
  <c r="J162" i="1"/>
  <c r="N162" i="1"/>
  <c r="Z6" i="1"/>
  <c r="J7" i="5" s="1"/>
  <c r="G162" i="1"/>
  <c r="K162" i="1"/>
  <c r="R15" i="1"/>
  <c r="C16" i="5" s="1"/>
  <c r="Q15" i="1"/>
  <c r="B16" i="5" s="1"/>
  <c r="Q9" i="1"/>
  <c r="B10" i="5" s="1"/>
  <c r="G161" i="1"/>
  <c r="J163" i="1"/>
  <c r="R9" i="1"/>
  <c r="C10" i="5" s="1"/>
  <c r="G40" i="1"/>
  <c r="G163" i="1"/>
  <c r="K163" i="1"/>
  <c r="H163" i="1"/>
  <c r="B103" i="7"/>
  <c r="B85" i="7"/>
  <c r="B73" i="7"/>
  <c r="B67" i="7"/>
  <c r="B55" i="7"/>
  <c r="B37" i="7"/>
  <c r="B19" i="7"/>
  <c r="B13" i="7"/>
  <c r="M163" i="1"/>
  <c r="G160" i="1"/>
  <c r="D40" i="1"/>
  <c r="R12" i="1"/>
  <c r="C13" i="5" s="1"/>
  <c r="AX11" i="1"/>
  <c r="AT11" i="1"/>
  <c r="AA12" i="5" s="1"/>
  <c r="AY8" i="1"/>
  <c r="H159" i="1"/>
  <c r="L159" i="1"/>
  <c r="E159" i="1"/>
  <c r="I159" i="1"/>
  <c r="M159" i="1"/>
  <c r="R11" i="1"/>
  <c r="C12" i="5" s="1"/>
  <c r="Q11" i="1"/>
  <c r="B12" i="5" s="1"/>
  <c r="L163" i="1"/>
  <c r="I161" i="1"/>
  <c r="L160" i="1"/>
  <c r="D160" i="1"/>
  <c r="G159" i="1"/>
  <c r="Q16" i="1"/>
  <c r="B17" i="5" s="1"/>
  <c r="Z8" i="1"/>
  <c r="J9" i="5" s="1"/>
  <c r="N163" i="1"/>
  <c r="AX6" i="1"/>
  <c r="AX15" i="1"/>
  <c r="AY15" i="1"/>
  <c r="BU13" i="1"/>
  <c r="Z13" i="1"/>
  <c r="J14" i="5" s="1"/>
  <c r="BR16" i="1"/>
  <c r="N168" i="1"/>
  <c r="N165" i="1"/>
  <c r="AS31" i="1"/>
  <c r="Z32" i="5" s="1"/>
  <c r="AY36" i="1"/>
  <c r="AS36" i="1"/>
  <c r="Z37" i="5" s="1"/>
  <c r="AY32" i="1"/>
  <c r="AX32" i="1"/>
  <c r="AY24" i="1"/>
  <c r="BX36" i="1"/>
  <c r="AF36" i="1"/>
  <c r="N37" i="5" s="1"/>
  <c r="K42" i="1"/>
  <c r="BX15" i="1"/>
  <c r="AE15" i="1"/>
  <c r="M16" i="5" s="1"/>
  <c r="BX11" i="1"/>
  <c r="AE11" i="1"/>
  <c r="M12" i="5" s="1"/>
  <c r="BU38" i="1"/>
  <c r="Z38" i="1"/>
  <c r="J39" i="5" s="1"/>
  <c r="BP24" i="1"/>
  <c r="T24" i="1"/>
  <c r="E25" i="5" s="1"/>
  <c r="B106" i="7"/>
  <c r="B82" i="7"/>
  <c r="B58" i="7"/>
  <c r="B34" i="7"/>
  <c r="B16" i="7"/>
  <c r="B10" i="7"/>
  <c r="N170" i="1"/>
  <c r="I40" i="1"/>
  <c r="AX21" i="1"/>
  <c r="AY35" i="1"/>
  <c r="AT35" i="1"/>
  <c r="AA36" i="5" s="1"/>
  <c r="AY30" i="1"/>
  <c r="AY28" i="1"/>
  <c r="AY14" i="1"/>
  <c r="AX14" i="1"/>
  <c r="AY5" i="1"/>
  <c r="AX5" i="1"/>
  <c r="AS5" i="1"/>
  <c r="Z6" i="5" s="1"/>
  <c r="BX37" i="1"/>
  <c r="AE37" i="1"/>
  <c r="M38" i="5" s="1"/>
  <c r="BX29" i="1"/>
  <c r="AF29" i="1"/>
  <c r="N30" i="5" s="1"/>
  <c r="AE16" i="1"/>
  <c r="M17" i="5" s="1"/>
  <c r="BX4" i="1"/>
  <c r="K41" i="1"/>
  <c r="BU28" i="1"/>
  <c r="Z28" i="1"/>
  <c r="J29" i="5" s="1"/>
  <c r="BU4" i="1"/>
  <c r="J5" i="5"/>
  <c r="BP21" i="1"/>
  <c r="BR8" i="1"/>
  <c r="Q8" i="1"/>
  <c r="B9" i="5" s="1"/>
  <c r="AE7" i="1"/>
  <c r="M8" i="5" s="1"/>
  <c r="Z30" i="1"/>
  <c r="J31" i="5" s="1"/>
  <c r="AY33" i="1"/>
  <c r="AX17" i="1"/>
  <c r="AY10" i="1"/>
  <c r="BX35" i="1"/>
  <c r="BX27" i="1"/>
  <c r="BX18" i="1"/>
  <c r="BX10" i="1"/>
  <c r="BU21" i="1"/>
  <c r="BU16" i="1"/>
  <c r="BU14" i="1"/>
  <c r="BU5" i="1"/>
  <c r="BP36" i="1"/>
  <c r="BR31" i="1"/>
  <c r="BR14" i="1"/>
  <c r="BR11" i="1"/>
  <c r="BU20" i="1"/>
  <c r="BR38" i="1"/>
  <c r="BR22" i="1"/>
  <c r="BR13" i="1"/>
  <c r="BR6" i="1"/>
  <c r="AY16" i="1"/>
  <c r="AY11" i="1"/>
  <c r="BX38" i="1"/>
  <c r="BX34" i="1"/>
  <c r="BX30" i="1"/>
  <c r="BX26" i="1"/>
  <c r="BX21" i="1"/>
  <c r="BX17" i="1"/>
  <c r="BX13" i="1"/>
  <c r="BX9" i="1"/>
  <c r="BX5" i="1"/>
  <c r="BU33" i="1"/>
  <c r="BU31" i="1"/>
  <c r="BU18" i="1"/>
  <c r="BP6" i="1"/>
  <c r="BR19" i="1"/>
  <c r="BR18" i="1"/>
  <c r="M18" i="5"/>
  <c r="Z21" i="5"/>
  <c r="AH25" i="1"/>
  <c r="Q25" i="1"/>
  <c r="B26" i="5" s="1"/>
  <c r="T25" i="1"/>
  <c r="BP25" i="1"/>
  <c r="BR25" i="1"/>
  <c r="AX34" i="1"/>
  <c r="AY34" i="1"/>
  <c r="N41" i="1"/>
  <c r="AY38" i="1"/>
  <c r="AX38" i="1"/>
  <c r="BU27" i="1"/>
  <c r="Z27" i="1"/>
  <c r="AE25" i="1"/>
  <c r="M26" i="5" s="1"/>
  <c r="AG25" i="1"/>
  <c r="BX25" i="1"/>
  <c r="AY25" i="1"/>
  <c r="AX25" i="1"/>
  <c r="AT25" i="1"/>
  <c r="AA26" i="5" s="1"/>
  <c r="S30" i="1"/>
  <c r="D31" i="5" s="1"/>
  <c r="BR30" i="1"/>
  <c r="Q30" i="1"/>
  <c r="B31" i="5" s="1"/>
  <c r="C42" i="1"/>
  <c r="AE31" i="1"/>
  <c r="M32" i="5" s="1"/>
  <c r="AG31" i="1"/>
  <c r="O32" i="5" s="1"/>
  <c r="L42" i="1"/>
  <c r="BR20" i="1"/>
  <c r="BP20" i="1"/>
  <c r="E41" i="1"/>
  <c r="E42" i="1"/>
  <c r="BP34" i="1"/>
  <c r="BR34" i="1"/>
  <c r="Q34" i="1"/>
  <c r="B35" i="5" s="1"/>
  <c r="BP32" i="1"/>
  <c r="BR32" i="1"/>
  <c r="T32" i="1"/>
  <c r="E33" i="5" s="1"/>
  <c r="AY20" i="1"/>
  <c r="AX20" i="1"/>
  <c r="AY13" i="1"/>
  <c r="AX13" i="1"/>
  <c r="AT27" i="1"/>
  <c r="AA28" i="5" s="1"/>
  <c r="AY27" i="1"/>
  <c r="AX27" i="1"/>
  <c r="AX23" i="1"/>
  <c r="AY23" i="1"/>
  <c r="BU12" i="1"/>
  <c r="I41" i="1"/>
  <c r="I42" i="1"/>
  <c r="AY37" i="1"/>
  <c r="AX37" i="1"/>
  <c r="BX31" i="1"/>
  <c r="BX22" i="1"/>
  <c r="BX14" i="1"/>
  <c r="BX6" i="1"/>
  <c r="BU15" i="1"/>
  <c r="BR10" i="1"/>
  <c r="AY12" i="1"/>
  <c r="AX12" i="1"/>
  <c r="BP26" i="1"/>
  <c r="BR26" i="1"/>
  <c r="BP23" i="1"/>
  <c r="BR23" i="1"/>
  <c r="BR12" i="1"/>
  <c r="BP12" i="1"/>
  <c r="D41" i="1"/>
  <c r="D42" i="1"/>
  <c r="BX33" i="1"/>
  <c r="BX24" i="1"/>
  <c r="BX16" i="1"/>
  <c r="BX8" i="1"/>
  <c r="H42" i="1"/>
  <c r="BH30" i="1" s="1"/>
  <c r="N42" i="1"/>
  <c r="BN33" i="1" s="1"/>
  <c r="AY29" i="1"/>
  <c r="AX29" i="1"/>
  <c r="AY17" i="1"/>
  <c r="AY4" i="1"/>
  <c r="C41" i="1"/>
  <c r="AX4" i="1"/>
  <c r="BU7" i="1"/>
  <c r="F41" i="1"/>
  <c r="F42" i="1"/>
  <c r="BR37" i="1"/>
  <c r="BP37" i="1"/>
  <c r="BR35" i="1"/>
  <c r="BP17" i="1"/>
  <c r="BR17" i="1"/>
  <c r="BP15" i="1"/>
  <c r="BR15" i="1"/>
  <c r="BR4" i="1"/>
  <c r="BP4" i="1"/>
  <c r="AY7" i="1"/>
  <c r="AX7" i="1"/>
  <c r="M41" i="1"/>
  <c r="M42" i="1"/>
  <c r="G41" i="1"/>
  <c r="G42" i="1"/>
  <c r="J41" i="1"/>
  <c r="J42" i="1"/>
  <c r="AX35" i="1"/>
  <c r="L41" i="1"/>
  <c r="BU23" i="1"/>
  <c r="BR29" i="1"/>
  <c r="BP29" i="1"/>
  <c r="BR27" i="1"/>
  <c r="BP9" i="1"/>
  <c r="BR9" i="1"/>
  <c r="BP7" i="1"/>
  <c r="BR7" i="1"/>
  <c r="BR36" i="1"/>
  <c r="BR28" i="1"/>
  <c r="AX33" i="1"/>
  <c r="AX24" i="1"/>
  <c r="AX16" i="1"/>
  <c r="AX8" i="1"/>
  <c r="BX19" i="1"/>
  <c r="BN26" i="1" l="1"/>
  <c r="AS40" i="1"/>
  <c r="Z40" i="5" s="1"/>
  <c r="AV26" i="1"/>
  <c r="T40" i="1"/>
  <c r="E40" i="5" s="1"/>
  <c r="AH41" i="1"/>
  <c r="P41" i="5" s="1"/>
  <c r="BD34" i="1"/>
  <c r="BK7" i="1"/>
  <c r="AJ7" i="1" s="1"/>
  <c r="R8" i="5" s="1"/>
  <c r="AW34" i="1"/>
  <c r="CK34" i="1" s="1"/>
  <c r="BL25" i="1"/>
  <c r="AK25" i="1" s="1"/>
  <c r="S26" i="5" s="1"/>
  <c r="BU41" i="1"/>
  <c r="BL31" i="1"/>
  <c r="AK31" i="1" s="1"/>
  <c r="S32" i="5" s="1"/>
  <c r="R41" i="1"/>
  <c r="C41" i="5" s="1"/>
  <c r="AS41" i="1"/>
  <c r="Z41" i="5" s="1"/>
  <c r="BH26" i="1"/>
  <c r="BK26" i="1"/>
  <c r="AJ26" i="1" s="1"/>
  <c r="R27" i="5" s="1"/>
  <c r="BK28" i="1"/>
  <c r="AJ28" i="1" s="1"/>
  <c r="R29" i="5" s="1"/>
  <c r="BK31" i="1"/>
  <c r="AJ31" i="1" s="1"/>
  <c r="R32" i="5" s="1"/>
  <c r="BK5" i="1"/>
  <c r="AJ5" i="1" s="1"/>
  <c r="R6" i="5" s="1"/>
  <c r="BK9" i="1"/>
  <c r="AJ9" i="1" s="1"/>
  <c r="R10" i="5" s="1"/>
  <c r="BK18" i="1"/>
  <c r="AJ18" i="1" s="1"/>
  <c r="R19" i="5" s="1"/>
  <c r="BK19" i="1"/>
  <c r="AJ19" i="1" s="1"/>
  <c r="R20" i="5" s="1"/>
  <c r="BK8" i="1"/>
  <c r="AJ8" i="1" s="1"/>
  <c r="R9" i="5" s="1"/>
  <c r="BK10" i="1"/>
  <c r="AJ10" i="1" s="1"/>
  <c r="R11" i="5" s="1"/>
  <c r="BK13" i="1"/>
  <c r="AJ13" i="1" s="1"/>
  <c r="R14" i="5" s="1"/>
  <c r="BK20" i="1"/>
  <c r="AJ20" i="1" s="1"/>
  <c r="R21" i="5" s="1"/>
  <c r="BK21" i="1"/>
  <c r="AJ21" i="1" s="1"/>
  <c r="R22" i="5" s="1"/>
  <c r="BK27" i="1"/>
  <c r="AJ27" i="1" s="1"/>
  <c r="R28" i="5" s="1"/>
  <c r="BK29" i="1"/>
  <c r="AJ29" i="1" s="1"/>
  <c r="R30" i="5" s="1"/>
  <c r="BK30" i="1"/>
  <c r="AJ30" i="1" s="1"/>
  <c r="R31" i="5" s="1"/>
  <c r="BK33" i="1"/>
  <c r="AJ33" i="1" s="1"/>
  <c r="R34" i="5" s="1"/>
  <c r="BK34" i="1"/>
  <c r="AJ34" i="1" s="1"/>
  <c r="R35" i="5" s="1"/>
  <c r="BK17" i="1"/>
  <c r="AJ17" i="1" s="1"/>
  <c r="R18" i="5" s="1"/>
  <c r="BK4" i="1"/>
  <c r="BK32" i="1"/>
  <c r="AJ32" i="1" s="1"/>
  <c r="R33" i="5" s="1"/>
  <c r="BK6" i="1"/>
  <c r="AJ6" i="1" s="1"/>
  <c r="R7" i="5" s="1"/>
  <c r="BK12" i="1"/>
  <c r="AJ12" i="1" s="1"/>
  <c r="R13" i="5" s="1"/>
  <c r="BK22" i="1"/>
  <c r="AJ22" i="1" s="1"/>
  <c r="R23" i="5" s="1"/>
  <c r="BK23" i="1"/>
  <c r="AJ23" i="1" s="1"/>
  <c r="R24" i="5" s="1"/>
  <c r="BK35" i="1"/>
  <c r="AJ35" i="1" s="1"/>
  <c r="R36" i="5" s="1"/>
  <c r="BK36" i="1"/>
  <c r="AJ36" i="1" s="1"/>
  <c r="R37" i="5" s="1"/>
  <c r="BK38" i="1"/>
  <c r="AJ38" i="1" s="1"/>
  <c r="R39" i="5" s="1"/>
  <c r="BK14" i="1"/>
  <c r="AJ14" i="1" s="1"/>
  <c r="R15" i="5" s="1"/>
  <c r="BK24" i="1"/>
  <c r="AJ24" i="1" s="1"/>
  <c r="R25" i="5" s="1"/>
  <c r="BU42" i="1"/>
  <c r="R40" i="1"/>
  <c r="C40" i="5" s="1"/>
  <c r="BM25" i="1"/>
  <c r="AL25" i="1" s="1"/>
  <c r="T26" i="5" s="1"/>
  <c r="BF27" i="1"/>
  <c r="BH35" i="1"/>
  <c r="AF40" i="1"/>
  <c r="N40" i="5" s="1"/>
  <c r="BK16" i="1"/>
  <c r="AJ16" i="1" s="1"/>
  <c r="R17" i="5" s="1"/>
  <c r="BK37" i="1"/>
  <c r="AJ37" i="1" s="1"/>
  <c r="R38" i="5" s="1"/>
  <c r="BK15" i="1"/>
  <c r="AJ15" i="1" s="1"/>
  <c r="R16" i="5" s="1"/>
  <c r="BK25" i="1"/>
  <c r="AJ25" i="1" s="1"/>
  <c r="R26" i="5" s="1"/>
  <c r="BH33" i="1"/>
  <c r="Z40" i="1"/>
  <c r="J40" i="5" s="1"/>
  <c r="AF41" i="1"/>
  <c r="N41" i="5" s="1"/>
  <c r="BK11" i="1"/>
  <c r="AJ11" i="1" s="1"/>
  <c r="R12" i="5" s="1"/>
  <c r="AW28" i="1"/>
  <c r="AW26" i="1"/>
  <c r="BD28" i="1"/>
  <c r="AW30" i="1"/>
  <c r="BD31" i="1"/>
  <c r="AW33" i="1"/>
  <c r="AW36" i="1"/>
  <c r="AW31" i="1"/>
  <c r="BD32" i="1"/>
  <c r="BD35" i="1"/>
  <c r="BD30" i="1"/>
  <c r="AW29" i="1"/>
  <c r="BD37" i="1"/>
  <c r="AW7" i="1"/>
  <c r="AW15" i="1"/>
  <c r="AW23" i="1"/>
  <c r="AW4" i="1"/>
  <c r="AW32" i="1"/>
  <c r="AW8" i="1"/>
  <c r="AW16" i="1"/>
  <c r="AW24" i="1"/>
  <c r="BD4" i="1"/>
  <c r="AW35" i="1"/>
  <c r="BD36" i="1"/>
  <c r="BD38" i="1"/>
  <c r="AW10" i="1"/>
  <c r="AW18" i="1"/>
  <c r="BD5" i="1"/>
  <c r="AW11" i="1"/>
  <c r="AW19" i="1"/>
  <c r="AW37" i="1"/>
  <c r="AW12" i="1"/>
  <c r="AW20" i="1"/>
  <c r="BD26" i="1"/>
  <c r="AW38" i="1"/>
  <c r="AW5" i="1"/>
  <c r="AW13" i="1"/>
  <c r="AW21" i="1"/>
  <c r="AW22" i="1"/>
  <c r="BD7" i="1"/>
  <c r="BD11" i="1"/>
  <c r="BD8" i="1"/>
  <c r="BD12" i="1"/>
  <c r="AW9" i="1"/>
  <c r="AW6" i="1"/>
  <c r="BD6" i="1"/>
  <c r="BD9" i="1"/>
  <c r="AW14" i="1"/>
  <c r="BD19" i="1"/>
  <c r="BD23" i="1"/>
  <c r="AW17" i="1"/>
  <c r="BD10" i="1"/>
  <c r="BD14" i="1"/>
  <c r="BD20" i="1"/>
  <c r="BD24" i="1"/>
  <c r="BD33" i="1"/>
  <c r="BD17" i="1"/>
  <c r="BD21" i="1"/>
  <c r="BD15" i="1"/>
  <c r="BD16" i="1"/>
  <c r="BD18" i="1"/>
  <c r="BD22" i="1"/>
  <c r="BD13" i="1"/>
  <c r="BI25" i="1"/>
  <c r="BI35" i="1"/>
  <c r="BI29" i="1"/>
  <c r="BI30" i="1"/>
  <c r="BI26" i="1"/>
  <c r="BI33" i="1"/>
  <c r="BI28" i="1"/>
  <c r="BI31" i="1"/>
  <c r="BI34" i="1"/>
  <c r="BI6" i="1"/>
  <c r="BI27" i="1"/>
  <c r="BI32" i="1"/>
  <c r="BI36" i="1"/>
  <c r="BI37" i="1"/>
  <c r="BI4" i="1"/>
  <c r="BI38" i="1"/>
  <c r="BI9" i="1"/>
  <c r="BI13" i="1"/>
  <c r="BI10" i="1"/>
  <c r="BI5" i="1"/>
  <c r="BI7" i="1"/>
  <c r="BI11" i="1"/>
  <c r="BI17" i="1"/>
  <c r="BI21" i="1"/>
  <c r="BI15" i="1"/>
  <c r="BI16" i="1"/>
  <c r="BI18" i="1"/>
  <c r="BI22" i="1"/>
  <c r="BI14" i="1"/>
  <c r="BI19" i="1"/>
  <c r="BI23" i="1"/>
  <c r="BI12" i="1"/>
  <c r="BI20" i="1"/>
  <c r="BI24" i="1"/>
  <c r="BI8" i="1"/>
  <c r="BE36" i="1"/>
  <c r="BE28" i="1"/>
  <c r="BE31" i="1"/>
  <c r="BE27" i="1"/>
  <c r="BE32" i="1"/>
  <c r="BE35" i="1"/>
  <c r="BE33" i="1"/>
  <c r="BE30" i="1"/>
  <c r="BE37" i="1"/>
  <c r="BE38" i="1"/>
  <c r="BE5" i="1"/>
  <c r="BE10" i="1"/>
  <c r="BE14" i="1"/>
  <c r="BE29" i="1"/>
  <c r="BE7" i="1"/>
  <c r="BE11" i="1"/>
  <c r="BE8" i="1"/>
  <c r="BE12" i="1"/>
  <c r="BE16" i="1"/>
  <c r="BE13" i="1"/>
  <c r="BE19" i="1"/>
  <c r="BE23" i="1"/>
  <c r="BE4" i="1"/>
  <c r="BE20" i="1"/>
  <c r="BE24" i="1"/>
  <c r="BE17" i="1"/>
  <c r="BE21" i="1"/>
  <c r="BE9" i="1"/>
  <c r="BE18" i="1"/>
  <c r="BE15" i="1"/>
  <c r="BE22" i="1"/>
  <c r="BE6" i="1"/>
  <c r="AT40" i="1"/>
  <c r="AA40" i="5" s="1"/>
  <c r="CT34" i="1"/>
  <c r="BG26" i="1"/>
  <c r="V26" i="1" s="1"/>
  <c r="G27" i="5" s="1"/>
  <c r="BG30" i="1"/>
  <c r="V30" i="1" s="1"/>
  <c r="G31" i="5" s="1"/>
  <c r="BG36" i="1"/>
  <c r="V36" i="1" s="1"/>
  <c r="G37" i="5" s="1"/>
  <c r="BG27" i="1"/>
  <c r="V27" i="1" s="1"/>
  <c r="G28" i="5" s="1"/>
  <c r="BG31" i="1"/>
  <c r="V31" i="1" s="1"/>
  <c r="G32" i="5" s="1"/>
  <c r="BG29" i="1"/>
  <c r="V29" i="1" s="1"/>
  <c r="G30" i="5" s="1"/>
  <c r="BG34" i="1"/>
  <c r="V34" i="1" s="1"/>
  <c r="G35" i="5" s="1"/>
  <c r="BG25" i="1"/>
  <c r="V25" i="1" s="1"/>
  <c r="G26" i="5" s="1"/>
  <c r="BG28" i="1"/>
  <c r="V28" i="1" s="1"/>
  <c r="G29" i="5" s="1"/>
  <c r="BG35" i="1"/>
  <c r="V35" i="1" s="1"/>
  <c r="G36" i="5" s="1"/>
  <c r="BG7" i="1"/>
  <c r="V7" i="1" s="1"/>
  <c r="G8" i="5" s="1"/>
  <c r="BG37" i="1"/>
  <c r="V37" i="1" s="1"/>
  <c r="G38" i="5" s="1"/>
  <c r="BG38" i="1"/>
  <c r="V38" i="1" s="1"/>
  <c r="G39" i="5" s="1"/>
  <c r="BG5" i="1"/>
  <c r="V5" i="1" s="1"/>
  <c r="G6" i="5" s="1"/>
  <c r="BG10" i="1"/>
  <c r="V10" i="1" s="1"/>
  <c r="G11" i="5" s="1"/>
  <c r="BG14" i="1"/>
  <c r="V14" i="1" s="1"/>
  <c r="G15" i="5" s="1"/>
  <c r="BG6" i="1"/>
  <c r="V6" i="1" s="1"/>
  <c r="G7" i="5" s="1"/>
  <c r="BG11" i="1"/>
  <c r="V11" i="1" s="1"/>
  <c r="G12" i="5" s="1"/>
  <c r="BG33" i="1"/>
  <c r="V33" i="1" s="1"/>
  <c r="G34" i="5" s="1"/>
  <c r="BG8" i="1"/>
  <c r="V8" i="1" s="1"/>
  <c r="G9" i="5" s="1"/>
  <c r="BG12" i="1"/>
  <c r="V12" i="1" s="1"/>
  <c r="G13" i="5" s="1"/>
  <c r="BG16" i="1"/>
  <c r="V16" i="1" s="1"/>
  <c r="G17" i="5" s="1"/>
  <c r="BG4" i="1"/>
  <c r="BG15" i="1"/>
  <c r="V15" i="1" s="1"/>
  <c r="G16" i="5" s="1"/>
  <c r="BG19" i="1"/>
  <c r="V19" i="1" s="1"/>
  <c r="G20" i="5" s="1"/>
  <c r="BG23" i="1"/>
  <c r="V23" i="1" s="1"/>
  <c r="G24" i="5" s="1"/>
  <c r="BG13" i="1"/>
  <c r="V13" i="1" s="1"/>
  <c r="G14" i="5" s="1"/>
  <c r="BG9" i="1"/>
  <c r="V9" i="1" s="1"/>
  <c r="G10" i="5" s="1"/>
  <c r="BG20" i="1"/>
  <c r="V20" i="1" s="1"/>
  <c r="G21" i="5" s="1"/>
  <c r="BG24" i="1"/>
  <c r="V24" i="1" s="1"/>
  <c r="G25" i="5" s="1"/>
  <c r="BG21" i="1"/>
  <c r="V21" i="1" s="1"/>
  <c r="G22" i="5" s="1"/>
  <c r="BG17" i="1"/>
  <c r="V17" i="1" s="1"/>
  <c r="G18" i="5" s="1"/>
  <c r="BG22" i="1"/>
  <c r="V22" i="1" s="1"/>
  <c r="G23" i="5" s="1"/>
  <c r="BG18" i="1"/>
  <c r="V18" i="1" s="1"/>
  <c r="G19" i="5" s="1"/>
  <c r="BH6" i="1"/>
  <c r="BH32" i="1"/>
  <c r="BH37" i="1"/>
  <c r="BH4" i="1"/>
  <c r="BH25" i="1"/>
  <c r="BH38" i="1"/>
  <c r="BH9" i="1"/>
  <c r="BH13" i="1"/>
  <c r="BH10" i="1"/>
  <c r="BH5" i="1"/>
  <c r="BH7" i="1"/>
  <c r="BH11" i="1"/>
  <c r="BH15" i="1"/>
  <c r="BH16" i="1"/>
  <c r="BH18" i="1"/>
  <c r="BH22" i="1"/>
  <c r="BH14" i="1"/>
  <c r="BH19" i="1"/>
  <c r="BH23" i="1"/>
  <c r="BH12" i="1"/>
  <c r="BH20" i="1"/>
  <c r="BH24" i="1"/>
  <c r="BH8" i="1"/>
  <c r="BH17" i="1"/>
  <c r="BH21" i="1"/>
  <c r="CG26" i="1"/>
  <c r="CJ26" i="1"/>
  <c r="CR26" i="1"/>
  <c r="CO26" i="1"/>
  <c r="CB26" i="1"/>
  <c r="CQ26" i="1"/>
  <c r="BE26" i="1"/>
  <c r="BH29" i="1"/>
  <c r="BX42" i="1"/>
  <c r="BD25" i="1"/>
  <c r="P26" i="5"/>
  <c r="AH40" i="1"/>
  <c r="P40" i="5" s="1"/>
  <c r="Q41" i="1"/>
  <c r="B41" i="5" s="1"/>
  <c r="BJ28" i="1"/>
  <c r="W28" i="1" s="1"/>
  <c r="H29" i="5" s="1"/>
  <c r="BJ25" i="1"/>
  <c r="W25" i="1" s="1"/>
  <c r="H26" i="5" s="1"/>
  <c r="BJ33" i="1"/>
  <c r="W33" i="1" s="1"/>
  <c r="H34" i="5" s="1"/>
  <c r="BJ27" i="1"/>
  <c r="W27" i="1" s="1"/>
  <c r="H28" i="5" s="1"/>
  <c r="BJ36" i="1"/>
  <c r="W36" i="1" s="1"/>
  <c r="H37" i="5" s="1"/>
  <c r="BJ31" i="1"/>
  <c r="W31" i="1" s="1"/>
  <c r="H32" i="5" s="1"/>
  <c r="BJ29" i="1"/>
  <c r="W29" i="1" s="1"/>
  <c r="H30" i="5" s="1"/>
  <c r="BJ34" i="1"/>
  <c r="W34" i="1" s="1"/>
  <c r="H35" i="5" s="1"/>
  <c r="BJ26" i="1"/>
  <c r="W26" i="1" s="1"/>
  <c r="H27" i="5" s="1"/>
  <c r="BJ37" i="1"/>
  <c r="W37" i="1" s="1"/>
  <c r="H38" i="5" s="1"/>
  <c r="BJ6" i="1"/>
  <c r="W6" i="1" s="1"/>
  <c r="H7" i="5" s="1"/>
  <c r="BJ4" i="1"/>
  <c r="BJ32" i="1"/>
  <c r="W32" i="1" s="1"/>
  <c r="H33" i="5" s="1"/>
  <c r="BJ35" i="1"/>
  <c r="W35" i="1" s="1"/>
  <c r="H36" i="5" s="1"/>
  <c r="BJ38" i="1"/>
  <c r="W38" i="1" s="1"/>
  <c r="H39" i="5" s="1"/>
  <c r="BJ9" i="1"/>
  <c r="W9" i="1" s="1"/>
  <c r="H10" i="5" s="1"/>
  <c r="BJ13" i="1"/>
  <c r="W13" i="1" s="1"/>
  <c r="H14" i="5" s="1"/>
  <c r="BJ17" i="1"/>
  <c r="W17" i="1" s="1"/>
  <c r="H18" i="5" s="1"/>
  <c r="BJ10" i="1"/>
  <c r="W10" i="1" s="1"/>
  <c r="H11" i="5" s="1"/>
  <c r="BJ11" i="1"/>
  <c r="W11" i="1" s="1"/>
  <c r="H12" i="5" s="1"/>
  <c r="BJ15" i="1"/>
  <c r="W15" i="1" s="1"/>
  <c r="H16" i="5" s="1"/>
  <c r="BJ14" i="1"/>
  <c r="W14" i="1" s="1"/>
  <c r="H15" i="5" s="1"/>
  <c r="BJ16" i="1"/>
  <c r="W16" i="1" s="1"/>
  <c r="H17" i="5" s="1"/>
  <c r="BJ18" i="1"/>
  <c r="W18" i="1" s="1"/>
  <c r="H19" i="5" s="1"/>
  <c r="BJ22" i="1"/>
  <c r="W22" i="1" s="1"/>
  <c r="H23" i="5" s="1"/>
  <c r="BJ8" i="1"/>
  <c r="W8" i="1" s="1"/>
  <c r="H9" i="5" s="1"/>
  <c r="BJ19" i="1"/>
  <c r="W19" i="1" s="1"/>
  <c r="H20" i="5" s="1"/>
  <c r="BJ23" i="1"/>
  <c r="W23" i="1" s="1"/>
  <c r="H24" i="5" s="1"/>
  <c r="BJ7" i="1"/>
  <c r="W7" i="1" s="1"/>
  <c r="H8" i="5" s="1"/>
  <c r="BJ12" i="1"/>
  <c r="W12" i="1" s="1"/>
  <c r="H13" i="5" s="1"/>
  <c r="BJ20" i="1"/>
  <c r="W20" i="1" s="1"/>
  <c r="H21" i="5" s="1"/>
  <c r="BJ24" i="1"/>
  <c r="W24" i="1" s="1"/>
  <c r="H25" i="5" s="1"/>
  <c r="BJ5" i="1"/>
  <c r="W5" i="1" s="1"/>
  <c r="H6" i="5" s="1"/>
  <c r="BJ21" i="1"/>
  <c r="W21" i="1" s="1"/>
  <c r="H22" i="5" s="1"/>
  <c r="AE40" i="1"/>
  <c r="M40" i="5" s="1"/>
  <c r="AX41" i="1"/>
  <c r="AX42" i="1"/>
  <c r="BD29" i="1"/>
  <c r="BE34" i="1"/>
  <c r="BH27" i="1"/>
  <c r="BH28" i="1"/>
  <c r="BX41" i="1"/>
  <c r="BY33" i="1" s="1"/>
  <c r="AI33" i="1" s="1"/>
  <c r="Q34" i="5" s="1"/>
  <c r="Q40" i="1"/>
  <c r="B40" i="5" s="1"/>
  <c r="BP42" i="1"/>
  <c r="BP41" i="1"/>
  <c r="Z41" i="1"/>
  <c r="J41" i="5" s="1"/>
  <c r="J28" i="5"/>
  <c r="BF26" i="1"/>
  <c r="BF33" i="1"/>
  <c r="BF36" i="1"/>
  <c r="BF28" i="1"/>
  <c r="BF31" i="1"/>
  <c r="BF34" i="1"/>
  <c r="BF25" i="1"/>
  <c r="BF32" i="1"/>
  <c r="BF29" i="1"/>
  <c r="BF35" i="1"/>
  <c r="BF4" i="1"/>
  <c r="BF38" i="1"/>
  <c r="BF30" i="1"/>
  <c r="BF10" i="1"/>
  <c r="BF14" i="1"/>
  <c r="BF5" i="1"/>
  <c r="BF7" i="1"/>
  <c r="BF11" i="1"/>
  <c r="BF37" i="1"/>
  <c r="BF8" i="1"/>
  <c r="BF6" i="1"/>
  <c r="BF15" i="1"/>
  <c r="BF18" i="1"/>
  <c r="BF22" i="1"/>
  <c r="BF13" i="1"/>
  <c r="BF19" i="1"/>
  <c r="BF23" i="1"/>
  <c r="BF12" i="1"/>
  <c r="BF20" i="1"/>
  <c r="BF24" i="1"/>
  <c r="BF17" i="1"/>
  <c r="BF21" i="1"/>
  <c r="BF16" i="1"/>
  <c r="BF9" i="1"/>
  <c r="BL28" i="1"/>
  <c r="AK28" i="1" s="1"/>
  <c r="S29" i="5" s="1"/>
  <c r="BL29" i="1"/>
  <c r="AK29" i="1" s="1"/>
  <c r="S30" i="5" s="1"/>
  <c r="BL30" i="1"/>
  <c r="AK30" i="1" s="1"/>
  <c r="S31" i="5" s="1"/>
  <c r="BL33" i="1"/>
  <c r="AK33" i="1" s="1"/>
  <c r="S34" i="5" s="1"/>
  <c r="BL26" i="1"/>
  <c r="AK26" i="1" s="1"/>
  <c r="S27" i="5" s="1"/>
  <c r="BL36" i="1"/>
  <c r="AK36" i="1" s="1"/>
  <c r="S37" i="5" s="1"/>
  <c r="BL34" i="1"/>
  <c r="AK34" i="1" s="1"/>
  <c r="S35" i="5" s="1"/>
  <c r="BL35" i="1"/>
  <c r="AK35" i="1" s="1"/>
  <c r="S36" i="5" s="1"/>
  <c r="BL6" i="1"/>
  <c r="AK6" i="1" s="1"/>
  <c r="S7" i="5" s="1"/>
  <c r="BL27" i="1"/>
  <c r="AK27" i="1" s="1"/>
  <c r="S28" i="5" s="1"/>
  <c r="BL4" i="1"/>
  <c r="BL37" i="1"/>
  <c r="AK37" i="1" s="1"/>
  <c r="S38" i="5" s="1"/>
  <c r="BL38" i="1"/>
  <c r="AK38" i="1" s="1"/>
  <c r="S39" i="5" s="1"/>
  <c r="BL9" i="1"/>
  <c r="AK9" i="1" s="1"/>
  <c r="S10" i="5" s="1"/>
  <c r="BL13" i="1"/>
  <c r="AK13" i="1" s="1"/>
  <c r="S14" i="5" s="1"/>
  <c r="BL5" i="1"/>
  <c r="AK5" i="1" s="1"/>
  <c r="S6" i="5" s="1"/>
  <c r="BL32" i="1"/>
  <c r="AK32" i="1" s="1"/>
  <c r="S33" i="5" s="1"/>
  <c r="BL10" i="1"/>
  <c r="AK10" i="1" s="1"/>
  <c r="S11" i="5" s="1"/>
  <c r="BL7" i="1"/>
  <c r="AK7" i="1" s="1"/>
  <c r="S8" i="5" s="1"/>
  <c r="BL11" i="1"/>
  <c r="AK11" i="1" s="1"/>
  <c r="S12" i="5" s="1"/>
  <c r="BL15" i="1"/>
  <c r="AK15" i="1" s="1"/>
  <c r="S16" i="5" s="1"/>
  <c r="BL18" i="1"/>
  <c r="AK18" i="1" s="1"/>
  <c r="S19" i="5" s="1"/>
  <c r="BL22" i="1"/>
  <c r="AK22" i="1" s="1"/>
  <c r="S23" i="5" s="1"/>
  <c r="BL19" i="1"/>
  <c r="AK19" i="1" s="1"/>
  <c r="S20" i="5" s="1"/>
  <c r="BL23" i="1"/>
  <c r="AK23" i="1" s="1"/>
  <c r="S24" i="5" s="1"/>
  <c r="BL8" i="1"/>
  <c r="AK8" i="1" s="1"/>
  <c r="S9" i="5" s="1"/>
  <c r="BL20" i="1"/>
  <c r="AK20" i="1" s="1"/>
  <c r="S21" i="5" s="1"/>
  <c r="BL24" i="1"/>
  <c r="AK24" i="1" s="1"/>
  <c r="S25" i="5" s="1"/>
  <c r="BL12" i="1"/>
  <c r="AK12" i="1" s="1"/>
  <c r="S13" i="5" s="1"/>
  <c r="BL14" i="1"/>
  <c r="AK14" i="1" s="1"/>
  <c r="S15" i="5" s="1"/>
  <c r="BL16" i="1"/>
  <c r="AK16" i="1" s="1"/>
  <c r="S17" i="5" s="1"/>
  <c r="BL17" i="1"/>
  <c r="AK17" i="1" s="1"/>
  <c r="S18" i="5" s="1"/>
  <c r="BL21" i="1"/>
  <c r="AK21" i="1" s="1"/>
  <c r="S22" i="5" s="1"/>
  <c r="BM30" i="1"/>
  <c r="AL30" i="1" s="1"/>
  <c r="T31" i="5" s="1"/>
  <c r="BM26" i="1"/>
  <c r="AL26" i="1" s="1"/>
  <c r="T27" i="5" s="1"/>
  <c r="BM32" i="1"/>
  <c r="AL32" i="1" s="1"/>
  <c r="T33" i="5" s="1"/>
  <c r="BM27" i="1"/>
  <c r="AL27" i="1" s="1"/>
  <c r="T28" i="5" s="1"/>
  <c r="BM35" i="1"/>
  <c r="AL35" i="1" s="1"/>
  <c r="T36" i="5" s="1"/>
  <c r="BM29" i="1"/>
  <c r="AL29" i="1" s="1"/>
  <c r="T30" i="5" s="1"/>
  <c r="BM33" i="1"/>
  <c r="AL33" i="1" s="1"/>
  <c r="T34" i="5" s="1"/>
  <c r="BM36" i="1"/>
  <c r="AL36" i="1" s="1"/>
  <c r="T37" i="5" s="1"/>
  <c r="BM37" i="1"/>
  <c r="AL37" i="1" s="1"/>
  <c r="T38" i="5" s="1"/>
  <c r="BM38" i="1"/>
  <c r="AL38" i="1" s="1"/>
  <c r="T39" i="5" s="1"/>
  <c r="BM5" i="1"/>
  <c r="AL5" i="1" s="1"/>
  <c r="T6" i="5" s="1"/>
  <c r="BM34" i="1"/>
  <c r="AL34" i="1" s="1"/>
  <c r="T35" i="5" s="1"/>
  <c r="BM4" i="1"/>
  <c r="BM8" i="1"/>
  <c r="AL8" i="1" s="1"/>
  <c r="T9" i="5" s="1"/>
  <c r="BM12" i="1"/>
  <c r="AL12" i="1" s="1"/>
  <c r="T13" i="5" s="1"/>
  <c r="BM16" i="1"/>
  <c r="AL16" i="1" s="1"/>
  <c r="T17" i="5" s="1"/>
  <c r="BM9" i="1"/>
  <c r="AL9" i="1" s="1"/>
  <c r="T10" i="5" s="1"/>
  <c r="BM13" i="1"/>
  <c r="AL13" i="1" s="1"/>
  <c r="T14" i="5" s="1"/>
  <c r="BM10" i="1"/>
  <c r="AL10" i="1" s="1"/>
  <c r="T11" i="5" s="1"/>
  <c r="BM14" i="1"/>
  <c r="AL14" i="1" s="1"/>
  <c r="T15" i="5" s="1"/>
  <c r="BM17" i="1"/>
  <c r="AL17" i="1" s="1"/>
  <c r="T18" i="5" s="1"/>
  <c r="BM21" i="1"/>
  <c r="AL21" i="1" s="1"/>
  <c r="T22" i="5" s="1"/>
  <c r="BM28" i="1"/>
  <c r="AL28" i="1" s="1"/>
  <c r="T29" i="5" s="1"/>
  <c r="BM6" i="1"/>
  <c r="AL6" i="1" s="1"/>
  <c r="T7" i="5" s="1"/>
  <c r="BM15" i="1"/>
  <c r="AL15" i="1" s="1"/>
  <c r="T16" i="5" s="1"/>
  <c r="BM18" i="1"/>
  <c r="AL18" i="1" s="1"/>
  <c r="T19" i="5" s="1"/>
  <c r="BM22" i="1"/>
  <c r="AL22" i="1" s="1"/>
  <c r="T23" i="5" s="1"/>
  <c r="BM19" i="1"/>
  <c r="AL19" i="1" s="1"/>
  <c r="T20" i="5" s="1"/>
  <c r="BM23" i="1"/>
  <c r="AL23" i="1" s="1"/>
  <c r="T24" i="5" s="1"/>
  <c r="BM7" i="1"/>
  <c r="AL7" i="1" s="1"/>
  <c r="T8" i="5" s="1"/>
  <c r="BM24" i="1"/>
  <c r="AL24" i="1" s="1"/>
  <c r="T25" i="5" s="1"/>
  <c r="BM11" i="1"/>
  <c r="AL11" i="1" s="1"/>
  <c r="T12" i="5" s="1"/>
  <c r="BM20" i="1"/>
  <c r="AL20" i="1" s="1"/>
  <c r="T21" i="5" s="1"/>
  <c r="AV25" i="1"/>
  <c r="BC28" i="1"/>
  <c r="BC34" i="1"/>
  <c r="AV36" i="1"/>
  <c r="BC25" i="1"/>
  <c r="AV28" i="1"/>
  <c r="AV31" i="1"/>
  <c r="BC27" i="1"/>
  <c r="BC32" i="1"/>
  <c r="AV34" i="1"/>
  <c r="AV27" i="1"/>
  <c r="BC30" i="1"/>
  <c r="AV32" i="1"/>
  <c r="AV29" i="1"/>
  <c r="BC29" i="1"/>
  <c r="BC33" i="1"/>
  <c r="AV35" i="1"/>
  <c r="AV10" i="1"/>
  <c r="AV18" i="1"/>
  <c r="BC4" i="1"/>
  <c r="BC31" i="1"/>
  <c r="AV11" i="1"/>
  <c r="AV19" i="1"/>
  <c r="AV37" i="1"/>
  <c r="AV5" i="1"/>
  <c r="AV13" i="1"/>
  <c r="AV21" i="1"/>
  <c r="AV38" i="1"/>
  <c r="AV6" i="1"/>
  <c r="AV14" i="1"/>
  <c r="AV22" i="1"/>
  <c r="BC6" i="1"/>
  <c r="BC26" i="1"/>
  <c r="AV7" i="1"/>
  <c r="AV15" i="1"/>
  <c r="AV23" i="1"/>
  <c r="AV33" i="1"/>
  <c r="AV8" i="1"/>
  <c r="AV16" i="1"/>
  <c r="AV24" i="1"/>
  <c r="BC35" i="1"/>
  <c r="BC7" i="1"/>
  <c r="BC11" i="1"/>
  <c r="BC15" i="1"/>
  <c r="BC5" i="1"/>
  <c r="AV12" i="1"/>
  <c r="BC8" i="1"/>
  <c r="BC12" i="1"/>
  <c r="BC36" i="1"/>
  <c r="BC37" i="1"/>
  <c r="AV9" i="1"/>
  <c r="AV30" i="1"/>
  <c r="AV20" i="1"/>
  <c r="BC9" i="1"/>
  <c r="BC13" i="1"/>
  <c r="AV17" i="1"/>
  <c r="BC38" i="1"/>
  <c r="BC10" i="1"/>
  <c r="BC14" i="1"/>
  <c r="BC20" i="1"/>
  <c r="BC24" i="1"/>
  <c r="BC17" i="1"/>
  <c r="BC21" i="1"/>
  <c r="BC16" i="1"/>
  <c r="BC18" i="1"/>
  <c r="BC22" i="1"/>
  <c r="BC23" i="1"/>
  <c r="BC19" i="1"/>
  <c r="BG32" i="1"/>
  <c r="V32" i="1" s="1"/>
  <c r="G33" i="5" s="1"/>
  <c r="BH34" i="1"/>
  <c r="BM31" i="1"/>
  <c r="AL31" i="1" s="1"/>
  <c r="T32" i="5" s="1"/>
  <c r="BE25" i="1"/>
  <c r="S41" i="1"/>
  <c r="D41" i="5" s="1"/>
  <c r="T41" i="1"/>
  <c r="E41" i="5" s="1"/>
  <c r="E26" i="5"/>
  <c r="AT41" i="1"/>
  <c r="AA41" i="5" s="1"/>
  <c r="AY41" i="1"/>
  <c r="AY42" i="1"/>
  <c r="BY31" i="1"/>
  <c r="AI31" i="1" s="1"/>
  <c r="Q32" i="5" s="1"/>
  <c r="AW27" i="1"/>
  <c r="BH31" i="1"/>
  <c r="BJ30" i="1"/>
  <c r="W30" i="1" s="1"/>
  <c r="H31" i="5" s="1"/>
  <c r="AG40" i="1"/>
  <c r="O40" i="5" s="1"/>
  <c r="O26" i="5"/>
  <c r="BN32" i="1"/>
  <c r="BN35" i="1"/>
  <c r="BN29" i="1"/>
  <c r="BN30" i="1"/>
  <c r="BN28" i="1"/>
  <c r="BN36" i="1"/>
  <c r="BN25" i="1"/>
  <c r="BN31" i="1"/>
  <c r="BN34" i="1"/>
  <c r="BN38" i="1"/>
  <c r="BN5" i="1"/>
  <c r="BN27" i="1"/>
  <c r="BN37" i="1"/>
  <c r="BN4" i="1"/>
  <c r="BN6" i="1"/>
  <c r="BN8" i="1"/>
  <c r="BN12" i="1"/>
  <c r="BN16" i="1"/>
  <c r="BN9" i="1"/>
  <c r="BN10" i="1"/>
  <c r="BN14" i="1"/>
  <c r="BN17" i="1"/>
  <c r="BN21" i="1"/>
  <c r="BN13" i="1"/>
  <c r="BN15" i="1"/>
  <c r="BN18" i="1"/>
  <c r="BN22" i="1"/>
  <c r="BN19" i="1"/>
  <c r="BN23" i="1"/>
  <c r="BN7" i="1"/>
  <c r="BN20" i="1"/>
  <c r="BN24" i="1"/>
  <c r="BN11" i="1"/>
  <c r="S40" i="1"/>
  <c r="D40" i="5" s="1"/>
  <c r="BR41" i="1"/>
  <c r="BR42" i="1"/>
  <c r="BD27" i="1"/>
  <c r="BH36" i="1"/>
  <c r="AW25" i="1"/>
  <c r="AG41" i="1"/>
  <c r="O41" i="5" s="1"/>
  <c r="AE41" i="1"/>
  <c r="M41" i="5" s="1"/>
  <c r="BY8" i="1" l="1"/>
  <c r="AI8" i="1" s="1"/>
  <c r="Q9" i="5" s="1"/>
  <c r="CS34" i="1"/>
  <c r="CC34" i="1"/>
  <c r="CF34" i="1"/>
  <c r="BY19" i="1"/>
  <c r="AI19" i="1" s="1"/>
  <c r="Q20" i="5" s="1"/>
  <c r="CN34" i="1"/>
  <c r="BY6" i="1"/>
  <c r="AI6" i="1" s="1"/>
  <c r="Q7" i="5" s="1"/>
  <c r="BV32" i="1"/>
  <c r="AA32" i="1" s="1"/>
  <c r="K33" i="5" s="1"/>
  <c r="BV15" i="1"/>
  <c r="AA15" i="1" s="1"/>
  <c r="K16" i="5" s="1"/>
  <c r="BV21" i="1"/>
  <c r="AA21" i="1" s="1"/>
  <c r="K22" i="5" s="1"/>
  <c r="BV8" i="1"/>
  <c r="AA8" i="1" s="1"/>
  <c r="K9" i="5" s="1"/>
  <c r="BS32" i="1"/>
  <c r="U32" i="1" s="1"/>
  <c r="F33" i="5" s="1"/>
  <c r="BV28" i="1"/>
  <c r="AA28" i="1" s="1"/>
  <c r="K29" i="5" s="1"/>
  <c r="BY16" i="1"/>
  <c r="AI16" i="1" s="1"/>
  <c r="Q17" i="5" s="1"/>
  <c r="BV18" i="1"/>
  <c r="AA18" i="1" s="1"/>
  <c r="K19" i="5" s="1"/>
  <c r="BV24" i="1"/>
  <c r="AA24" i="1" s="1"/>
  <c r="K25" i="5" s="1"/>
  <c r="BV33" i="1"/>
  <c r="AA33" i="1" s="1"/>
  <c r="K34" i="5" s="1"/>
  <c r="BV31" i="1"/>
  <c r="AA31" i="1" s="1"/>
  <c r="K32" i="5" s="1"/>
  <c r="BY24" i="1"/>
  <c r="AI24" i="1" s="1"/>
  <c r="Q25" i="5" s="1"/>
  <c r="BA7" i="1"/>
  <c r="CA7" i="1" s="1"/>
  <c r="BV12" i="1"/>
  <c r="AA12" i="1" s="1"/>
  <c r="K13" i="5" s="1"/>
  <c r="BV13" i="1"/>
  <c r="AA13" i="1" s="1"/>
  <c r="K14" i="5" s="1"/>
  <c r="BV20" i="1"/>
  <c r="AA20" i="1" s="1"/>
  <c r="K21" i="5" s="1"/>
  <c r="BV38" i="1"/>
  <c r="AA38" i="1" s="1"/>
  <c r="K39" i="5" s="1"/>
  <c r="BV25" i="1"/>
  <c r="AA25" i="1" s="1"/>
  <c r="K26" i="5" s="1"/>
  <c r="BV27" i="1"/>
  <c r="AA27" i="1" s="1"/>
  <c r="K28" i="5" s="1"/>
  <c r="BV29" i="1"/>
  <c r="AA29" i="1" s="1"/>
  <c r="K30" i="5" s="1"/>
  <c r="BY25" i="1"/>
  <c r="AI25" i="1" s="1"/>
  <c r="Q26" i="5" s="1"/>
  <c r="BY22" i="1"/>
  <c r="AI22" i="1" s="1"/>
  <c r="Q23" i="5" s="1"/>
  <c r="BV5" i="1"/>
  <c r="AA5" i="1" s="1"/>
  <c r="K6" i="5" s="1"/>
  <c r="BV23" i="1"/>
  <c r="AA23" i="1" s="1"/>
  <c r="K24" i="5" s="1"/>
  <c r="BV36" i="1"/>
  <c r="AA36" i="1" s="1"/>
  <c r="K37" i="5" s="1"/>
  <c r="BV6" i="1"/>
  <c r="AA6" i="1" s="1"/>
  <c r="K7" i="5" s="1"/>
  <c r="BS30" i="1"/>
  <c r="U30" i="1" s="1"/>
  <c r="F31" i="5" s="1"/>
  <c r="BS35" i="1"/>
  <c r="U35" i="1" s="1"/>
  <c r="F36" i="5" s="1"/>
  <c r="BS34" i="1"/>
  <c r="U34" i="1" s="1"/>
  <c r="F35" i="5" s="1"/>
  <c r="BS25" i="1"/>
  <c r="U25" i="1" s="1"/>
  <c r="F26" i="5" s="1"/>
  <c r="BY14" i="1"/>
  <c r="AI14" i="1" s="1"/>
  <c r="Q15" i="5" s="1"/>
  <c r="BS17" i="1"/>
  <c r="U17" i="1" s="1"/>
  <c r="F18" i="5" s="1"/>
  <c r="BS20" i="1"/>
  <c r="U20" i="1" s="1"/>
  <c r="F21" i="5" s="1"/>
  <c r="BS28" i="1"/>
  <c r="U28" i="1" s="1"/>
  <c r="F29" i="5" s="1"/>
  <c r="BV26" i="1"/>
  <c r="AA26" i="1" s="1"/>
  <c r="K27" i="5" s="1"/>
  <c r="BV10" i="1"/>
  <c r="AA10" i="1" s="1"/>
  <c r="K11" i="5" s="1"/>
  <c r="BV17" i="1"/>
  <c r="AA17" i="1" s="1"/>
  <c r="K18" i="5" s="1"/>
  <c r="BV19" i="1"/>
  <c r="AA19" i="1" s="1"/>
  <c r="K20" i="5" s="1"/>
  <c r="BV11" i="1"/>
  <c r="AA11" i="1" s="1"/>
  <c r="K12" i="5" s="1"/>
  <c r="BV4" i="1"/>
  <c r="AA4" i="1" s="1"/>
  <c r="K5" i="5" s="1"/>
  <c r="BV37" i="1"/>
  <c r="AA37" i="1" s="1"/>
  <c r="K38" i="5" s="1"/>
  <c r="BS37" i="1"/>
  <c r="U37" i="1" s="1"/>
  <c r="F38" i="5" s="1"/>
  <c r="BA37" i="1"/>
  <c r="CE37" i="1" s="1"/>
  <c r="BQ29" i="1"/>
  <c r="X29" i="1" s="1"/>
  <c r="I30" i="5" s="1"/>
  <c r="AZ27" i="1"/>
  <c r="CM27" i="1" s="1"/>
  <c r="BV7" i="1"/>
  <c r="AA7" i="1" s="1"/>
  <c r="K8" i="5" s="1"/>
  <c r="BV22" i="1"/>
  <c r="AA22" i="1" s="1"/>
  <c r="K23" i="5" s="1"/>
  <c r="BV16" i="1"/>
  <c r="AA16" i="1" s="1"/>
  <c r="K17" i="5" s="1"/>
  <c r="BV14" i="1"/>
  <c r="AA14" i="1" s="1"/>
  <c r="K15" i="5" s="1"/>
  <c r="BV9" i="1"/>
  <c r="AA9" i="1" s="1"/>
  <c r="K10" i="5" s="1"/>
  <c r="BV30" i="1"/>
  <c r="AA30" i="1" s="1"/>
  <c r="K31" i="5" s="1"/>
  <c r="BV35" i="1"/>
  <c r="AA35" i="1" s="1"/>
  <c r="K36" i="5" s="1"/>
  <c r="BV34" i="1"/>
  <c r="AA34" i="1" s="1"/>
  <c r="K35" i="5" s="1"/>
  <c r="AJ4" i="1"/>
  <c r="R5" i="5" s="1"/>
  <c r="BK41" i="1"/>
  <c r="BK42" i="1"/>
  <c r="BA20" i="1"/>
  <c r="CQ9" i="1"/>
  <c r="CR9" i="1"/>
  <c r="CJ9" i="1"/>
  <c r="CG9" i="1"/>
  <c r="CO9" i="1"/>
  <c r="CB9" i="1"/>
  <c r="CQ15" i="1"/>
  <c r="CG15" i="1"/>
  <c r="CR15" i="1"/>
  <c r="CO15" i="1"/>
  <c r="CB15" i="1"/>
  <c r="CJ15" i="1"/>
  <c r="CS4" i="1"/>
  <c r="CC4" i="1"/>
  <c r="CK4" i="1"/>
  <c r="CF4" i="1"/>
  <c r="CT4" i="1"/>
  <c r="CN4" i="1"/>
  <c r="AW42" i="1"/>
  <c r="AW41" i="1"/>
  <c r="BS9" i="1"/>
  <c r="U9" i="1" s="1"/>
  <c r="F10" i="5" s="1"/>
  <c r="AZ7" i="1"/>
  <c r="CQ7" i="1"/>
  <c r="CG7" i="1"/>
  <c r="CB7" i="1"/>
  <c r="CO7" i="1"/>
  <c r="CJ7" i="1"/>
  <c r="CR7" i="1"/>
  <c r="CQ13" i="1"/>
  <c r="CR13" i="1"/>
  <c r="CJ13" i="1"/>
  <c r="CG13" i="1"/>
  <c r="CB13" i="1"/>
  <c r="CO13" i="1"/>
  <c r="CQ10" i="1"/>
  <c r="CB10" i="1"/>
  <c r="CO10" i="1"/>
  <c r="CJ10" i="1"/>
  <c r="CG10" i="1"/>
  <c r="CR10" i="1"/>
  <c r="CQ34" i="1"/>
  <c r="CR34" i="1"/>
  <c r="CG34" i="1"/>
  <c r="CB34" i="1"/>
  <c r="CO34" i="1"/>
  <c r="CJ34" i="1"/>
  <c r="BA13" i="1"/>
  <c r="BS26" i="1"/>
  <c r="U26" i="1" s="1"/>
  <c r="F27" i="5" s="1"/>
  <c r="AZ38" i="1"/>
  <c r="AZ16" i="1"/>
  <c r="CS14" i="1"/>
  <c r="CT14" i="1"/>
  <c r="CN14" i="1"/>
  <c r="CC14" i="1"/>
  <c r="CK14" i="1"/>
  <c r="CF14" i="1"/>
  <c r="CS12" i="1"/>
  <c r="CK12" i="1"/>
  <c r="CF12" i="1"/>
  <c r="CT12" i="1"/>
  <c r="CN12" i="1"/>
  <c r="CC12" i="1"/>
  <c r="CS23" i="1"/>
  <c r="CT23" i="1"/>
  <c r="CN23" i="1"/>
  <c r="CC23" i="1"/>
  <c r="CK23" i="1"/>
  <c r="CF23" i="1"/>
  <c r="CF31" i="1"/>
  <c r="CS31" i="1"/>
  <c r="CT31" i="1"/>
  <c r="CN31" i="1"/>
  <c r="CC31" i="1"/>
  <c r="CK31" i="1"/>
  <c r="BC41" i="1"/>
  <c r="BC42" i="1"/>
  <c r="BQ28" i="1"/>
  <c r="X28" i="1" s="1"/>
  <c r="I29" i="5" s="1"/>
  <c r="BQ35" i="1"/>
  <c r="X35" i="1" s="1"/>
  <c r="I36" i="5" s="1"/>
  <c r="BQ33" i="1"/>
  <c r="X33" i="1" s="1"/>
  <c r="I34" i="5" s="1"/>
  <c r="BQ27" i="1"/>
  <c r="X27" i="1" s="1"/>
  <c r="I28" i="5" s="1"/>
  <c r="BQ31" i="1"/>
  <c r="X31" i="1" s="1"/>
  <c r="I32" i="5" s="1"/>
  <c r="BQ38" i="1"/>
  <c r="X38" i="1" s="1"/>
  <c r="I39" i="5" s="1"/>
  <c r="BQ5" i="1"/>
  <c r="X5" i="1" s="1"/>
  <c r="I6" i="5" s="1"/>
  <c r="BQ8" i="1"/>
  <c r="X8" i="1" s="1"/>
  <c r="I9" i="5" s="1"/>
  <c r="BQ16" i="1"/>
  <c r="X16" i="1" s="1"/>
  <c r="I17" i="5" s="1"/>
  <c r="BQ13" i="1"/>
  <c r="X13" i="1" s="1"/>
  <c r="I14" i="5" s="1"/>
  <c r="BQ6" i="1"/>
  <c r="X6" i="1" s="1"/>
  <c r="I7" i="5" s="1"/>
  <c r="BQ10" i="1"/>
  <c r="X10" i="1" s="1"/>
  <c r="I11" i="5" s="1"/>
  <c r="BQ14" i="1"/>
  <c r="X14" i="1" s="1"/>
  <c r="I15" i="5" s="1"/>
  <c r="BQ21" i="1"/>
  <c r="X21" i="1" s="1"/>
  <c r="I22" i="5" s="1"/>
  <c r="BQ18" i="1"/>
  <c r="X18" i="1" s="1"/>
  <c r="I19" i="5" s="1"/>
  <c r="BQ22" i="1"/>
  <c r="X22" i="1" s="1"/>
  <c r="I23" i="5" s="1"/>
  <c r="BQ11" i="1"/>
  <c r="X11" i="1" s="1"/>
  <c r="I12" i="5" s="1"/>
  <c r="BQ19" i="1"/>
  <c r="X19" i="1" s="1"/>
  <c r="I20" i="5" s="1"/>
  <c r="BQ24" i="1"/>
  <c r="X24" i="1" s="1"/>
  <c r="I25" i="5" s="1"/>
  <c r="BQ36" i="1"/>
  <c r="X36" i="1" s="1"/>
  <c r="I37" i="5" s="1"/>
  <c r="BQ30" i="1"/>
  <c r="X30" i="1" s="1"/>
  <c r="I31" i="5" s="1"/>
  <c r="CS10" i="1"/>
  <c r="CT10" i="1"/>
  <c r="CN10" i="1"/>
  <c r="CC10" i="1"/>
  <c r="CK10" i="1"/>
  <c r="CF10" i="1"/>
  <c r="CJ27" i="1"/>
  <c r="CB27" i="1"/>
  <c r="CG27" i="1"/>
  <c r="CO27" i="1"/>
  <c r="CQ27" i="1"/>
  <c r="CR27" i="1"/>
  <c r="AZ23" i="1"/>
  <c r="BA12" i="1"/>
  <c r="BQ7" i="1"/>
  <c r="X7" i="1" s="1"/>
  <c r="I8" i="5" s="1"/>
  <c r="CQ17" i="1"/>
  <c r="CR17" i="1"/>
  <c r="CJ17" i="1"/>
  <c r="CG17" i="1"/>
  <c r="CB17" i="1"/>
  <c r="CO17" i="1"/>
  <c r="CR24" i="1"/>
  <c r="CQ24" i="1"/>
  <c r="CG24" i="1"/>
  <c r="CB24" i="1"/>
  <c r="CO24" i="1"/>
  <c r="CJ24" i="1"/>
  <c r="CQ5" i="1"/>
  <c r="CB5" i="1"/>
  <c r="CR5" i="1"/>
  <c r="CJ5" i="1"/>
  <c r="CO5" i="1"/>
  <c r="CG5" i="1"/>
  <c r="CO35" i="1"/>
  <c r="CJ35" i="1"/>
  <c r="CR35" i="1"/>
  <c r="CG35" i="1"/>
  <c r="CB35" i="1"/>
  <c r="CQ35" i="1"/>
  <c r="CR25" i="1"/>
  <c r="CB25" i="1"/>
  <c r="CG25" i="1"/>
  <c r="CO25" i="1"/>
  <c r="CQ25" i="1"/>
  <c r="CJ25" i="1"/>
  <c r="AZ33" i="1"/>
  <c r="BA23" i="1"/>
  <c r="BS36" i="1"/>
  <c r="U36" i="1" s="1"/>
  <c r="F37" i="5" s="1"/>
  <c r="BS27" i="1"/>
  <c r="U27" i="1" s="1"/>
  <c r="F28" i="5" s="1"/>
  <c r="CS22" i="1"/>
  <c r="CT22" i="1"/>
  <c r="CC22" i="1"/>
  <c r="CK22" i="1"/>
  <c r="CF22" i="1"/>
  <c r="CN22" i="1"/>
  <c r="CF37" i="1"/>
  <c r="CK37" i="1"/>
  <c r="CS37" i="1"/>
  <c r="CN37" i="1"/>
  <c r="CC37" i="1"/>
  <c r="CT37" i="1"/>
  <c r="CC35" i="1"/>
  <c r="CF35" i="1"/>
  <c r="CS35" i="1"/>
  <c r="CN35" i="1"/>
  <c r="CT35" i="1"/>
  <c r="CK35" i="1"/>
  <c r="CS15" i="1"/>
  <c r="CT15" i="1"/>
  <c r="CF15" i="1"/>
  <c r="CN15" i="1"/>
  <c r="CC15" i="1"/>
  <c r="CK15" i="1"/>
  <c r="CS36" i="1"/>
  <c r="CT36" i="1"/>
  <c r="CN36" i="1"/>
  <c r="CF36" i="1"/>
  <c r="CC36" i="1"/>
  <c r="CK36" i="1"/>
  <c r="AZ25" i="1"/>
  <c r="CJ38" i="1"/>
  <c r="CR38" i="1"/>
  <c r="CG38" i="1"/>
  <c r="CB38" i="1"/>
  <c r="CO38" i="1"/>
  <c r="CQ38" i="1"/>
  <c r="BM41" i="1"/>
  <c r="AL4" i="1"/>
  <c r="T5" i="5" s="1"/>
  <c r="BM42" i="1"/>
  <c r="W4" i="1"/>
  <c r="H5" i="5" s="1"/>
  <c r="BJ41" i="1"/>
  <c r="BJ42" i="1"/>
  <c r="BS23" i="1"/>
  <c r="U23" i="1" s="1"/>
  <c r="F24" i="5" s="1"/>
  <c r="BA29" i="1"/>
  <c r="BS12" i="1"/>
  <c r="U12" i="1" s="1"/>
  <c r="F13" i="5" s="1"/>
  <c r="AZ12" i="1"/>
  <c r="CR16" i="1"/>
  <c r="CQ16" i="1"/>
  <c r="CB16" i="1"/>
  <c r="CG16" i="1"/>
  <c r="CO16" i="1"/>
  <c r="CJ16" i="1"/>
  <c r="CR37" i="1"/>
  <c r="CB37" i="1"/>
  <c r="CO37" i="1"/>
  <c r="CG37" i="1"/>
  <c r="CJ37" i="1"/>
  <c r="CQ37" i="1"/>
  <c r="BQ17" i="1"/>
  <c r="X17" i="1" s="1"/>
  <c r="I18" i="5" s="1"/>
  <c r="AK4" i="1"/>
  <c r="S5" i="5" s="1"/>
  <c r="BL41" i="1"/>
  <c r="BL42" i="1"/>
  <c r="BA38" i="1"/>
  <c r="BQ15" i="1"/>
  <c r="X15" i="1" s="1"/>
  <c r="I16" i="5" s="1"/>
  <c r="BA34" i="1"/>
  <c r="BI42" i="1"/>
  <c r="BI41" i="1"/>
  <c r="CT21" i="1"/>
  <c r="CK21" i="1"/>
  <c r="CF21" i="1"/>
  <c r="CS21" i="1"/>
  <c r="CN21" i="1"/>
  <c r="CC21" i="1"/>
  <c r="CS19" i="1"/>
  <c r="CT19" i="1"/>
  <c r="CN19" i="1"/>
  <c r="CC19" i="1"/>
  <c r="CK19" i="1"/>
  <c r="CF19" i="1"/>
  <c r="BD41" i="1"/>
  <c r="BD42" i="1"/>
  <c r="CS7" i="1"/>
  <c r="CT7" i="1"/>
  <c r="CN7" i="1"/>
  <c r="CC7" i="1"/>
  <c r="CF7" i="1"/>
  <c r="CK7" i="1"/>
  <c r="CT33" i="1"/>
  <c r="CN33" i="1"/>
  <c r="CC33" i="1"/>
  <c r="CK33" i="1"/>
  <c r="CS33" i="1"/>
  <c r="CF33" i="1"/>
  <c r="AZ24" i="1"/>
  <c r="CG36" i="1"/>
  <c r="CB36" i="1"/>
  <c r="CJ36" i="1"/>
  <c r="CO36" i="1"/>
  <c r="CQ36" i="1"/>
  <c r="CR36" i="1"/>
  <c r="BE41" i="1"/>
  <c r="BE42" i="1"/>
  <c r="CS26" i="1"/>
  <c r="CC26" i="1"/>
  <c r="CK26" i="1"/>
  <c r="CT26" i="1"/>
  <c r="CF26" i="1"/>
  <c r="CN26" i="1"/>
  <c r="CN28" i="1"/>
  <c r="CK28" i="1"/>
  <c r="CC28" i="1"/>
  <c r="CS28" i="1"/>
  <c r="CT28" i="1"/>
  <c r="CF28" i="1"/>
  <c r="AZ37" i="1"/>
  <c r="BS10" i="1"/>
  <c r="U10" i="1" s="1"/>
  <c r="F11" i="5" s="1"/>
  <c r="AZ8" i="1"/>
  <c r="BQ25" i="1"/>
  <c r="X25" i="1" s="1"/>
  <c r="I26" i="5" s="1"/>
  <c r="BS4" i="1"/>
  <c r="BN42" i="1"/>
  <c r="BN41" i="1"/>
  <c r="BQ12" i="1"/>
  <c r="X12" i="1" s="1"/>
  <c r="I13" i="5" s="1"/>
  <c r="CQ12" i="1"/>
  <c r="CR12" i="1"/>
  <c r="CG12" i="1"/>
  <c r="CB12" i="1"/>
  <c r="CJ12" i="1"/>
  <c r="CO12" i="1"/>
  <c r="CR8" i="1"/>
  <c r="CQ8" i="1"/>
  <c r="CG8" i="1"/>
  <c r="CB8" i="1"/>
  <c r="CO8" i="1"/>
  <c r="CJ8" i="1"/>
  <c r="CQ22" i="1"/>
  <c r="CR22" i="1"/>
  <c r="CO22" i="1"/>
  <c r="CJ22" i="1"/>
  <c r="CG22" i="1"/>
  <c r="CB22" i="1"/>
  <c r="CR19" i="1"/>
  <c r="CQ19" i="1"/>
  <c r="CB19" i="1"/>
  <c r="CO19" i="1"/>
  <c r="CJ19" i="1"/>
  <c r="CG19" i="1"/>
  <c r="CR31" i="1"/>
  <c r="CG31" i="1"/>
  <c r="CB31" i="1"/>
  <c r="CO31" i="1"/>
  <c r="CJ31" i="1"/>
  <c r="CQ31" i="1"/>
  <c r="BY32" i="1"/>
  <c r="AI32" i="1" s="1"/>
  <c r="Q33" i="5" s="1"/>
  <c r="BY27" i="1"/>
  <c r="AI27" i="1" s="1"/>
  <c r="Q28" i="5" s="1"/>
  <c r="BY30" i="1"/>
  <c r="AI30" i="1" s="1"/>
  <c r="Q31" i="5" s="1"/>
  <c r="BY36" i="1"/>
  <c r="AI36" i="1" s="1"/>
  <c r="Q37" i="5" s="1"/>
  <c r="BY4" i="1"/>
  <c r="BY26" i="1"/>
  <c r="AI26" i="1" s="1"/>
  <c r="Q27" i="5" s="1"/>
  <c r="BY29" i="1"/>
  <c r="AI29" i="1" s="1"/>
  <c r="Q30" i="5" s="1"/>
  <c r="BY35" i="1"/>
  <c r="AI35" i="1" s="1"/>
  <c r="Q36" i="5" s="1"/>
  <c r="BY7" i="1"/>
  <c r="AI7" i="1" s="1"/>
  <c r="Q8" i="5" s="1"/>
  <c r="BY11" i="1"/>
  <c r="AI11" i="1" s="1"/>
  <c r="Q12" i="5" s="1"/>
  <c r="BY15" i="1"/>
  <c r="AI15" i="1" s="1"/>
  <c r="Q16" i="5" s="1"/>
  <c r="BY38" i="1"/>
  <c r="AI38" i="1" s="1"/>
  <c r="Q39" i="5" s="1"/>
  <c r="BY12" i="1"/>
  <c r="AI12" i="1" s="1"/>
  <c r="Q13" i="5" s="1"/>
  <c r="BY9" i="1"/>
  <c r="AI9" i="1" s="1"/>
  <c r="Q10" i="5" s="1"/>
  <c r="BY13" i="1"/>
  <c r="AI13" i="1" s="1"/>
  <c r="Q14" i="5" s="1"/>
  <c r="BY20" i="1"/>
  <c r="AI20" i="1" s="1"/>
  <c r="Q21" i="5" s="1"/>
  <c r="BY17" i="1"/>
  <c r="AI17" i="1" s="1"/>
  <c r="Q18" i="5" s="1"/>
  <c r="BY21" i="1"/>
  <c r="AI21" i="1" s="1"/>
  <c r="Q22" i="5" s="1"/>
  <c r="BY10" i="1"/>
  <c r="AI10" i="1" s="1"/>
  <c r="Q11" i="5" s="1"/>
  <c r="BY18" i="1"/>
  <c r="AI18" i="1" s="1"/>
  <c r="Q19" i="5" s="1"/>
  <c r="BY5" i="1"/>
  <c r="AI5" i="1" s="1"/>
  <c r="Q6" i="5" s="1"/>
  <c r="BY23" i="1"/>
  <c r="AI23" i="1" s="1"/>
  <c r="Q24" i="5" s="1"/>
  <c r="BY37" i="1"/>
  <c r="AI37" i="1" s="1"/>
  <c r="Q38" i="5" s="1"/>
  <c r="BY28" i="1"/>
  <c r="AI28" i="1" s="1"/>
  <c r="Q29" i="5" s="1"/>
  <c r="BY34" i="1"/>
  <c r="AI34" i="1" s="1"/>
  <c r="Q35" i="5" s="1"/>
  <c r="BS29" i="1"/>
  <c r="U29" i="1" s="1"/>
  <c r="F30" i="5" s="1"/>
  <c r="BQ26" i="1"/>
  <c r="X26" i="1" s="1"/>
  <c r="I27" i="5" s="1"/>
  <c r="CS6" i="1"/>
  <c r="CT6" i="1"/>
  <c r="CF6" i="1"/>
  <c r="CN6" i="1"/>
  <c r="CC6" i="1"/>
  <c r="CK6" i="1"/>
  <c r="CT13" i="1"/>
  <c r="CS13" i="1"/>
  <c r="CK13" i="1"/>
  <c r="CC13" i="1"/>
  <c r="CN13" i="1"/>
  <c r="CF13" i="1"/>
  <c r="CS11" i="1"/>
  <c r="CT11" i="1"/>
  <c r="CN11" i="1"/>
  <c r="CC11" i="1"/>
  <c r="CF11" i="1"/>
  <c r="CK11" i="1"/>
  <c r="CT24" i="1"/>
  <c r="CF24" i="1"/>
  <c r="CN24" i="1"/>
  <c r="CC24" i="1"/>
  <c r="CS24" i="1"/>
  <c r="CK24" i="1"/>
  <c r="BA30" i="1"/>
  <c r="BA26" i="1"/>
  <c r="BA33" i="1"/>
  <c r="BA31" i="1"/>
  <c r="BA35" i="1"/>
  <c r="BA36" i="1"/>
  <c r="BA6" i="1"/>
  <c r="BA11" i="1"/>
  <c r="BA15" i="1"/>
  <c r="BA8" i="1"/>
  <c r="BA5" i="1"/>
  <c r="BA9" i="1"/>
  <c r="BA10" i="1"/>
  <c r="BA14" i="1"/>
  <c r="BA24" i="1"/>
  <c r="BA16" i="1"/>
  <c r="BA21" i="1"/>
  <c r="BA18" i="1"/>
  <c r="BA22" i="1"/>
  <c r="BA19" i="1"/>
  <c r="BA28" i="1"/>
  <c r="BA32" i="1"/>
  <c r="CQ23" i="1"/>
  <c r="CR23" i="1"/>
  <c r="CB23" i="1"/>
  <c r="CO23" i="1"/>
  <c r="CJ23" i="1"/>
  <c r="CG23" i="1"/>
  <c r="AZ28" i="1"/>
  <c r="AZ30" i="1"/>
  <c r="AZ31" i="1"/>
  <c r="AZ26" i="1"/>
  <c r="AZ36" i="1"/>
  <c r="AZ32" i="1"/>
  <c r="AZ5" i="1"/>
  <c r="AZ10" i="1"/>
  <c r="AZ14" i="1"/>
  <c r="AZ11" i="1"/>
  <c r="AZ18" i="1"/>
  <c r="AZ22" i="1"/>
  <c r="AZ9" i="1"/>
  <c r="AZ19" i="1"/>
  <c r="AZ6" i="1"/>
  <c r="AZ15" i="1"/>
  <c r="AZ17" i="1"/>
  <c r="AZ21" i="1"/>
  <c r="CK32" i="1"/>
  <c r="CF32" i="1"/>
  <c r="CS32" i="1"/>
  <c r="CT32" i="1"/>
  <c r="CN32" i="1"/>
  <c r="CC32" i="1"/>
  <c r="CT27" i="1"/>
  <c r="CF27" i="1"/>
  <c r="CN27" i="1"/>
  <c r="CS27" i="1"/>
  <c r="CC27" i="1"/>
  <c r="CK27" i="1"/>
  <c r="CQ21" i="1"/>
  <c r="CR21" i="1"/>
  <c r="CJ21" i="1"/>
  <c r="CG21" i="1"/>
  <c r="CB21" i="1"/>
  <c r="CO21" i="1"/>
  <c r="AZ34" i="1"/>
  <c r="BA4" i="1"/>
  <c r="CQ20" i="1"/>
  <c r="CR20" i="1"/>
  <c r="CG20" i="1"/>
  <c r="CB20" i="1"/>
  <c r="CO20" i="1"/>
  <c r="CJ20" i="1"/>
  <c r="CB33" i="1"/>
  <c r="CO33" i="1"/>
  <c r="CJ33" i="1"/>
  <c r="CQ33" i="1"/>
  <c r="CG33" i="1"/>
  <c r="CR33" i="1"/>
  <c r="CQ14" i="1"/>
  <c r="CR14" i="1"/>
  <c r="CB14" i="1"/>
  <c r="CO14" i="1"/>
  <c r="CJ14" i="1"/>
  <c r="CG14" i="1"/>
  <c r="CR11" i="1"/>
  <c r="CQ11" i="1"/>
  <c r="CG11" i="1"/>
  <c r="CB11" i="1"/>
  <c r="CO11" i="1"/>
  <c r="CJ11" i="1"/>
  <c r="CR29" i="1"/>
  <c r="CO29" i="1"/>
  <c r="CG29" i="1"/>
  <c r="CQ29" i="1"/>
  <c r="CB29" i="1"/>
  <c r="CJ29" i="1"/>
  <c r="CQ28" i="1"/>
  <c r="CB28" i="1"/>
  <c r="CR28" i="1"/>
  <c r="CJ28" i="1"/>
  <c r="CG28" i="1"/>
  <c r="CO28" i="1"/>
  <c r="BQ23" i="1"/>
  <c r="X23" i="1" s="1"/>
  <c r="I24" i="5" s="1"/>
  <c r="AZ4" i="1"/>
  <c r="BQ20" i="1"/>
  <c r="X20" i="1" s="1"/>
  <c r="I21" i="5" s="1"/>
  <c r="BH42" i="1"/>
  <c r="BH41" i="1"/>
  <c r="V4" i="1"/>
  <c r="G5" i="5" s="1"/>
  <c r="BG42" i="1"/>
  <c r="BG41" i="1"/>
  <c r="BA25" i="1"/>
  <c r="CS9" i="1"/>
  <c r="CT9" i="1"/>
  <c r="CK9" i="1"/>
  <c r="CF9" i="1"/>
  <c r="CN9" i="1"/>
  <c r="CC9" i="1"/>
  <c r="CT5" i="1"/>
  <c r="CK5" i="1"/>
  <c r="CF5" i="1"/>
  <c r="CN5" i="1"/>
  <c r="CS5" i="1"/>
  <c r="CC5" i="1"/>
  <c r="CT16" i="1"/>
  <c r="CK16" i="1"/>
  <c r="CS16" i="1"/>
  <c r="CN16" i="1"/>
  <c r="CC16" i="1"/>
  <c r="CF16" i="1"/>
  <c r="CF29" i="1"/>
  <c r="CC29" i="1"/>
  <c r="CK29" i="1"/>
  <c r="CT29" i="1"/>
  <c r="CN29" i="1"/>
  <c r="CS29" i="1"/>
  <c r="CN30" i="1"/>
  <c r="CC30" i="1"/>
  <c r="CK30" i="1"/>
  <c r="CF30" i="1"/>
  <c r="CS30" i="1"/>
  <c r="CT30" i="1"/>
  <c r="AZ29" i="1"/>
  <c r="BF42" i="1"/>
  <c r="BF41" i="1"/>
  <c r="AZ35" i="1"/>
  <c r="AZ20" i="1"/>
  <c r="CQ18" i="1"/>
  <c r="CR18" i="1"/>
  <c r="CO18" i="1"/>
  <c r="CJ18" i="1"/>
  <c r="CG18" i="1"/>
  <c r="CB18" i="1"/>
  <c r="CS20" i="1"/>
  <c r="CT20" i="1"/>
  <c r="CF20" i="1"/>
  <c r="CN20" i="1"/>
  <c r="CC20" i="1"/>
  <c r="CK20" i="1"/>
  <c r="CF25" i="1"/>
  <c r="CN25" i="1"/>
  <c r="CS25" i="1"/>
  <c r="CC25" i="1"/>
  <c r="CT25" i="1"/>
  <c r="CK25" i="1"/>
  <c r="BA17" i="1"/>
  <c r="BQ37" i="1"/>
  <c r="X37" i="1" s="1"/>
  <c r="I38" i="5" s="1"/>
  <c r="BS33" i="1"/>
  <c r="U33" i="1" s="1"/>
  <c r="F34" i="5" s="1"/>
  <c r="BS6" i="1"/>
  <c r="U6" i="1" s="1"/>
  <c r="F7" i="5" s="1"/>
  <c r="BS11" i="1"/>
  <c r="U11" i="1" s="1"/>
  <c r="F12" i="5" s="1"/>
  <c r="BS38" i="1"/>
  <c r="U38" i="1" s="1"/>
  <c r="F39" i="5" s="1"/>
  <c r="BS8" i="1"/>
  <c r="U8" i="1" s="1"/>
  <c r="F9" i="5" s="1"/>
  <c r="BS5" i="1"/>
  <c r="U5" i="1" s="1"/>
  <c r="F6" i="5" s="1"/>
  <c r="BS13" i="1"/>
  <c r="U13" i="1" s="1"/>
  <c r="F14" i="5" s="1"/>
  <c r="BS31" i="1"/>
  <c r="U31" i="1" s="1"/>
  <c r="F32" i="5" s="1"/>
  <c r="BS24" i="1"/>
  <c r="U24" i="1" s="1"/>
  <c r="F25" i="5" s="1"/>
  <c r="BS21" i="1"/>
  <c r="U21" i="1" s="1"/>
  <c r="F22" i="5" s="1"/>
  <c r="BS18" i="1"/>
  <c r="U18" i="1" s="1"/>
  <c r="F19" i="5" s="1"/>
  <c r="BS22" i="1"/>
  <c r="U22" i="1" s="1"/>
  <c r="F23" i="5" s="1"/>
  <c r="BS14" i="1"/>
  <c r="U14" i="1" s="1"/>
  <c r="F15" i="5" s="1"/>
  <c r="BS16" i="1"/>
  <c r="U16" i="1" s="1"/>
  <c r="F17" i="5" s="1"/>
  <c r="BS19" i="1"/>
  <c r="U19" i="1" s="1"/>
  <c r="F20" i="5" s="1"/>
  <c r="BQ34" i="1"/>
  <c r="X34" i="1" s="1"/>
  <c r="I35" i="5" s="1"/>
  <c r="CO30" i="1"/>
  <c r="CJ30" i="1"/>
  <c r="CQ30" i="1"/>
  <c r="CR30" i="1"/>
  <c r="CB30" i="1"/>
  <c r="CG30" i="1"/>
  <c r="CG4" i="1"/>
  <c r="CO4" i="1"/>
  <c r="CJ4" i="1"/>
  <c r="CQ4" i="1"/>
  <c r="CB4" i="1"/>
  <c r="CR4" i="1"/>
  <c r="AV42" i="1"/>
  <c r="AV41" i="1"/>
  <c r="CJ6" i="1"/>
  <c r="CG6" i="1"/>
  <c r="CQ6" i="1"/>
  <c r="CR6" i="1"/>
  <c r="CB6" i="1"/>
  <c r="CO6" i="1"/>
  <c r="CJ32" i="1"/>
  <c r="CQ32" i="1"/>
  <c r="CR32" i="1"/>
  <c r="CG32" i="1"/>
  <c r="CB32" i="1"/>
  <c r="CO32" i="1"/>
  <c r="BS7" i="1"/>
  <c r="U7" i="1" s="1"/>
  <c r="F8" i="5" s="1"/>
  <c r="BQ4" i="1"/>
  <c r="BS15" i="1"/>
  <c r="U15" i="1" s="1"/>
  <c r="F16" i="5" s="1"/>
  <c r="AZ13" i="1"/>
  <c r="BA27" i="1"/>
  <c r="BQ32" i="1"/>
  <c r="X32" i="1" s="1"/>
  <c r="I33" i="5" s="1"/>
  <c r="CS17" i="1"/>
  <c r="CT17" i="1"/>
  <c r="CK17" i="1"/>
  <c r="CF17" i="1"/>
  <c r="CN17" i="1"/>
  <c r="CC17" i="1"/>
  <c r="CF38" i="1"/>
  <c r="CS38" i="1"/>
  <c r="CT38" i="1"/>
  <c r="CN38" i="1"/>
  <c r="CK38" i="1"/>
  <c r="CC38" i="1"/>
  <c r="CS18" i="1"/>
  <c r="CT18" i="1"/>
  <c r="CC18" i="1"/>
  <c r="CK18" i="1"/>
  <c r="CF18" i="1"/>
  <c r="CN18" i="1"/>
  <c r="CT8" i="1"/>
  <c r="CK8" i="1"/>
  <c r="CF8" i="1"/>
  <c r="CS8" i="1"/>
  <c r="CN8" i="1"/>
  <c r="CC8" i="1"/>
  <c r="BQ9" i="1"/>
  <c r="X9" i="1" s="1"/>
  <c r="I10" i="5" s="1"/>
  <c r="CE7" i="1" l="1"/>
  <c r="CA37" i="1"/>
  <c r="BV42" i="1"/>
  <c r="CU28" i="1"/>
  <c r="AR28" i="1" s="1"/>
  <c r="Y29" i="5" s="1"/>
  <c r="CU14" i="1"/>
  <c r="AR14" i="1" s="1"/>
  <c r="Y15" i="5" s="1"/>
  <c r="CU23" i="1"/>
  <c r="AR23" i="1" s="1"/>
  <c r="Y24" i="5" s="1"/>
  <c r="CU37" i="1"/>
  <c r="AR37" i="1" s="1"/>
  <c r="Y38" i="5" s="1"/>
  <c r="CU30" i="1"/>
  <c r="AR30" i="1" s="1"/>
  <c r="Y31" i="5" s="1"/>
  <c r="CU31" i="1"/>
  <c r="AR31" i="1" s="1"/>
  <c r="Y32" i="5" s="1"/>
  <c r="BV41" i="1"/>
  <c r="CU22" i="1"/>
  <c r="AR22" i="1" s="1"/>
  <c r="Y23" i="5" s="1"/>
  <c r="CU26" i="1"/>
  <c r="AR26" i="1" s="1"/>
  <c r="Y27" i="5" s="1"/>
  <c r="CU10" i="1"/>
  <c r="AR10" i="1" s="1"/>
  <c r="Y11" i="5" s="1"/>
  <c r="CI27" i="1"/>
  <c r="CL27" i="1" s="1"/>
  <c r="AP27" i="1" s="1"/>
  <c r="W28" i="5" s="1"/>
  <c r="CU5" i="1"/>
  <c r="AR5" i="1" s="1"/>
  <c r="Y6" i="5" s="1"/>
  <c r="CE15" i="1"/>
  <c r="CH15" i="1" s="1"/>
  <c r="AO15" i="1" s="1"/>
  <c r="V16" i="5" s="1"/>
  <c r="CA15" i="1"/>
  <c r="CD15" i="1" s="1"/>
  <c r="AN15" i="1" s="1"/>
  <c r="U16" i="5" s="1"/>
  <c r="CU6" i="1"/>
  <c r="AR6" i="1" s="1"/>
  <c r="Y7" i="5" s="1"/>
  <c r="CM29" i="1"/>
  <c r="CP29" i="1" s="1"/>
  <c r="AQ29" i="1" s="1"/>
  <c r="X30" i="5" s="1"/>
  <c r="CI29" i="1"/>
  <c r="CL29" i="1" s="1"/>
  <c r="AP29" i="1" s="1"/>
  <c r="W30" i="5" s="1"/>
  <c r="CU29" i="1"/>
  <c r="AR29" i="1" s="1"/>
  <c r="Y30" i="5" s="1"/>
  <c r="CU11" i="1"/>
  <c r="AR11" i="1" s="1"/>
  <c r="Y12" i="5" s="1"/>
  <c r="CM21" i="1"/>
  <c r="CP21" i="1" s="1"/>
  <c r="AQ21" i="1" s="1"/>
  <c r="X22" i="5" s="1"/>
  <c r="CI21" i="1"/>
  <c r="CL21" i="1" s="1"/>
  <c r="AP21" i="1" s="1"/>
  <c r="W22" i="5" s="1"/>
  <c r="CM11" i="1"/>
  <c r="CP11" i="1" s="1"/>
  <c r="AQ11" i="1" s="1"/>
  <c r="X12" i="5" s="1"/>
  <c r="CI11" i="1"/>
  <c r="CL11" i="1" s="1"/>
  <c r="AP11" i="1" s="1"/>
  <c r="W12" i="5" s="1"/>
  <c r="CI30" i="1"/>
  <c r="CL30" i="1" s="1"/>
  <c r="AP30" i="1" s="1"/>
  <c r="W31" i="5" s="1"/>
  <c r="CM30" i="1"/>
  <c r="CP30" i="1" s="1"/>
  <c r="AQ30" i="1" s="1"/>
  <c r="X31" i="5" s="1"/>
  <c r="CE32" i="1"/>
  <c r="CH32" i="1" s="1"/>
  <c r="AO32" i="1" s="1"/>
  <c r="V33" i="5" s="1"/>
  <c r="CA32" i="1"/>
  <c r="CD32" i="1" s="1"/>
  <c r="AN32" i="1" s="1"/>
  <c r="U33" i="5" s="1"/>
  <c r="CE14" i="1"/>
  <c r="CH14" i="1" s="1"/>
  <c r="AO14" i="1" s="1"/>
  <c r="V15" i="5" s="1"/>
  <c r="CA14" i="1"/>
  <c r="CD14" i="1" s="1"/>
  <c r="AN14" i="1" s="1"/>
  <c r="U15" i="5" s="1"/>
  <c r="CA36" i="1"/>
  <c r="CD36" i="1" s="1"/>
  <c r="AN36" i="1" s="1"/>
  <c r="U37" i="5" s="1"/>
  <c r="CE36" i="1"/>
  <c r="CH36" i="1" s="1"/>
  <c r="AO36" i="1" s="1"/>
  <c r="V37" i="5" s="1"/>
  <c r="CE34" i="1"/>
  <c r="CH34" i="1" s="1"/>
  <c r="AO34" i="1" s="1"/>
  <c r="V35" i="5" s="1"/>
  <c r="CA34" i="1"/>
  <c r="CD34" i="1" s="1"/>
  <c r="AN34" i="1" s="1"/>
  <c r="U35" i="5" s="1"/>
  <c r="CI16" i="1"/>
  <c r="CL16" i="1" s="1"/>
  <c r="AP16" i="1" s="1"/>
  <c r="W17" i="5" s="1"/>
  <c r="CM16" i="1"/>
  <c r="CP16" i="1" s="1"/>
  <c r="AQ16" i="1" s="1"/>
  <c r="X17" i="5" s="1"/>
  <c r="CI35" i="1"/>
  <c r="CL35" i="1" s="1"/>
  <c r="AP35" i="1" s="1"/>
  <c r="W36" i="5" s="1"/>
  <c r="CM35" i="1"/>
  <c r="CP35" i="1" s="1"/>
  <c r="AQ35" i="1" s="1"/>
  <c r="X36" i="5" s="1"/>
  <c r="CI9" i="1"/>
  <c r="CL9" i="1" s="1"/>
  <c r="AP9" i="1" s="1"/>
  <c r="W10" i="5" s="1"/>
  <c r="CM9" i="1"/>
  <c r="CP9" i="1" s="1"/>
  <c r="AQ9" i="1" s="1"/>
  <c r="X10" i="5" s="1"/>
  <c r="CE25" i="1"/>
  <c r="CH25" i="1" s="1"/>
  <c r="AO25" i="1" s="1"/>
  <c r="V26" i="5" s="1"/>
  <c r="CA25" i="1"/>
  <c r="CD25" i="1" s="1"/>
  <c r="AN25" i="1" s="1"/>
  <c r="U26" i="5" s="1"/>
  <c r="CA24" i="1"/>
  <c r="CD24" i="1" s="1"/>
  <c r="AN24" i="1" s="1"/>
  <c r="U25" i="5" s="1"/>
  <c r="CE24" i="1"/>
  <c r="CH24" i="1" s="1"/>
  <c r="AO24" i="1" s="1"/>
  <c r="V25" i="5" s="1"/>
  <c r="CU8" i="1"/>
  <c r="AR8" i="1" s="1"/>
  <c r="Y9" i="5" s="1"/>
  <c r="CE27" i="1"/>
  <c r="CH27" i="1" s="1"/>
  <c r="AO27" i="1" s="1"/>
  <c r="V28" i="5" s="1"/>
  <c r="CA27" i="1"/>
  <c r="CD27" i="1" s="1"/>
  <c r="AN27" i="1" s="1"/>
  <c r="U28" i="5" s="1"/>
  <c r="CE17" i="1"/>
  <c r="CH17" i="1" s="1"/>
  <c r="AO17" i="1" s="1"/>
  <c r="V18" i="5" s="1"/>
  <c r="CA17" i="1"/>
  <c r="CD17" i="1" s="1"/>
  <c r="AN17" i="1" s="1"/>
  <c r="U18" i="5" s="1"/>
  <c r="CM17" i="1"/>
  <c r="CP17" i="1" s="1"/>
  <c r="AQ17" i="1" s="1"/>
  <c r="X18" i="5" s="1"/>
  <c r="CI17" i="1"/>
  <c r="CL17" i="1" s="1"/>
  <c r="AP17" i="1" s="1"/>
  <c r="W18" i="5" s="1"/>
  <c r="CI14" i="1"/>
  <c r="CL14" i="1" s="1"/>
  <c r="AP14" i="1" s="1"/>
  <c r="W15" i="5" s="1"/>
  <c r="CM14" i="1"/>
  <c r="CP14" i="1" s="1"/>
  <c r="AQ14" i="1" s="1"/>
  <c r="X15" i="5" s="1"/>
  <c r="CI28" i="1"/>
  <c r="CL28" i="1" s="1"/>
  <c r="AP28" i="1" s="1"/>
  <c r="W29" i="5" s="1"/>
  <c r="CM28" i="1"/>
  <c r="CP28" i="1" s="1"/>
  <c r="AQ28" i="1" s="1"/>
  <c r="X29" i="5" s="1"/>
  <c r="CE28" i="1"/>
  <c r="CH28" i="1" s="1"/>
  <c r="AO28" i="1" s="1"/>
  <c r="V29" i="5" s="1"/>
  <c r="CA28" i="1"/>
  <c r="CD28" i="1" s="1"/>
  <c r="AN28" i="1" s="1"/>
  <c r="U29" i="5" s="1"/>
  <c r="CE10" i="1"/>
  <c r="CH10" i="1" s="1"/>
  <c r="AO10" i="1" s="1"/>
  <c r="V11" i="5" s="1"/>
  <c r="CA10" i="1"/>
  <c r="CD10" i="1" s="1"/>
  <c r="AN10" i="1" s="1"/>
  <c r="U11" i="5" s="1"/>
  <c r="CA35" i="1"/>
  <c r="CD35" i="1" s="1"/>
  <c r="AN35" i="1" s="1"/>
  <c r="U36" i="5" s="1"/>
  <c r="CE35" i="1"/>
  <c r="CH35" i="1" s="1"/>
  <c r="AO35" i="1" s="1"/>
  <c r="V36" i="5" s="1"/>
  <c r="CU16" i="1"/>
  <c r="AR16" i="1" s="1"/>
  <c r="Y17" i="5" s="1"/>
  <c r="CU17" i="1"/>
  <c r="AR17" i="1" s="1"/>
  <c r="Y18" i="5" s="1"/>
  <c r="CI38" i="1"/>
  <c r="CL38" i="1" s="1"/>
  <c r="AP38" i="1" s="1"/>
  <c r="W39" i="5" s="1"/>
  <c r="CM38" i="1"/>
  <c r="CP38" i="1" s="1"/>
  <c r="AQ38" i="1" s="1"/>
  <c r="X39" i="5" s="1"/>
  <c r="CU34" i="1"/>
  <c r="AR34" i="1" s="1"/>
  <c r="Y35" i="5" s="1"/>
  <c r="CU9" i="1"/>
  <c r="AR9" i="1" s="1"/>
  <c r="Y10" i="5" s="1"/>
  <c r="CM34" i="1"/>
  <c r="CP34" i="1" s="1"/>
  <c r="AQ34" i="1" s="1"/>
  <c r="X35" i="5" s="1"/>
  <c r="CI34" i="1"/>
  <c r="CL34" i="1" s="1"/>
  <c r="AP34" i="1" s="1"/>
  <c r="W35" i="5" s="1"/>
  <c r="CE21" i="1"/>
  <c r="CH21" i="1" s="1"/>
  <c r="AO21" i="1" s="1"/>
  <c r="V22" i="5" s="1"/>
  <c r="CA21" i="1"/>
  <c r="CD21" i="1" s="1"/>
  <c r="AN21" i="1" s="1"/>
  <c r="U22" i="5" s="1"/>
  <c r="CA6" i="1"/>
  <c r="CD6" i="1" s="1"/>
  <c r="AN6" i="1" s="1"/>
  <c r="U7" i="5" s="1"/>
  <c r="CE6" i="1"/>
  <c r="CH6" i="1" s="1"/>
  <c r="AO6" i="1" s="1"/>
  <c r="V7" i="5" s="1"/>
  <c r="CU33" i="1"/>
  <c r="AR33" i="1" s="1"/>
  <c r="Y34" i="5" s="1"/>
  <c r="CI15" i="1"/>
  <c r="CL15" i="1" s="1"/>
  <c r="AP15" i="1" s="1"/>
  <c r="W16" i="5" s="1"/>
  <c r="CM15" i="1"/>
  <c r="CP15" i="1" s="1"/>
  <c r="AQ15" i="1" s="1"/>
  <c r="X16" i="5" s="1"/>
  <c r="CI10" i="1"/>
  <c r="CL10" i="1" s="1"/>
  <c r="AP10" i="1" s="1"/>
  <c r="W11" i="5" s="1"/>
  <c r="CM10" i="1"/>
  <c r="CP10" i="1" s="1"/>
  <c r="AQ10" i="1" s="1"/>
  <c r="X11" i="5" s="1"/>
  <c r="CA19" i="1"/>
  <c r="CD19" i="1" s="1"/>
  <c r="AN19" i="1" s="1"/>
  <c r="U20" i="5" s="1"/>
  <c r="CE19" i="1"/>
  <c r="CH19" i="1" s="1"/>
  <c r="AO19" i="1" s="1"/>
  <c r="V20" i="5" s="1"/>
  <c r="CE9" i="1"/>
  <c r="CH9" i="1" s="1"/>
  <c r="AO9" i="1" s="1"/>
  <c r="V10" i="5" s="1"/>
  <c r="CA9" i="1"/>
  <c r="CD9" i="1" s="1"/>
  <c r="AN9" i="1" s="1"/>
  <c r="U10" i="5" s="1"/>
  <c r="CA31" i="1"/>
  <c r="CD31" i="1" s="1"/>
  <c r="AN31" i="1" s="1"/>
  <c r="U32" i="5" s="1"/>
  <c r="CE31" i="1"/>
  <c r="CH31" i="1" s="1"/>
  <c r="AO31" i="1" s="1"/>
  <c r="V32" i="5" s="1"/>
  <c r="U4" i="1"/>
  <c r="F5" i="5" s="1"/>
  <c r="BS42" i="1"/>
  <c r="BS41" i="1"/>
  <c r="CA38" i="1"/>
  <c r="CD38" i="1" s="1"/>
  <c r="AN38" i="1" s="1"/>
  <c r="U39" i="5" s="1"/>
  <c r="CE38" i="1"/>
  <c r="CH38" i="1" s="1"/>
  <c r="AO38" i="1" s="1"/>
  <c r="V39" i="5" s="1"/>
  <c r="CA23" i="1"/>
  <c r="CD23" i="1" s="1"/>
  <c r="AN23" i="1" s="1"/>
  <c r="U24" i="5" s="1"/>
  <c r="CE23" i="1"/>
  <c r="CH23" i="1" s="1"/>
  <c r="AO23" i="1" s="1"/>
  <c r="V24" i="5" s="1"/>
  <c r="CU35" i="1"/>
  <c r="AR35" i="1" s="1"/>
  <c r="Y36" i="5" s="1"/>
  <c r="CU24" i="1"/>
  <c r="AR24" i="1" s="1"/>
  <c r="Y25" i="5" s="1"/>
  <c r="CA20" i="1"/>
  <c r="CD20" i="1" s="1"/>
  <c r="AN20" i="1" s="1"/>
  <c r="U21" i="5" s="1"/>
  <c r="CE20" i="1"/>
  <c r="CH20" i="1" s="1"/>
  <c r="AO20" i="1" s="1"/>
  <c r="V21" i="5" s="1"/>
  <c r="CE30" i="1"/>
  <c r="CH30" i="1" s="1"/>
  <c r="AO30" i="1" s="1"/>
  <c r="V31" i="5" s="1"/>
  <c r="CA30" i="1"/>
  <c r="CD30" i="1" s="1"/>
  <c r="AN30" i="1" s="1"/>
  <c r="U31" i="5" s="1"/>
  <c r="CI18" i="1"/>
  <c r="CL18" i="1" s="1"/>
  <c r="AP18" i="1" s="1"/>
  <c r="W19" i="5" s="1"/>
  <c r="CM18" i="1"/>
  <c r="CP18" i="1" s="1"/>
  <c r="AQ18" i="1" s="1"/>
  <c r="X19" i="5" s="1"/>
  <c r="CI13" i="1"/>
  <c r="CL13" i="1" s="1"/>
  <c r="AP13" i="1" s="1"/>
  <c r="W14" i="5" s="1"/>
  <c r="CM13" i="1"/>
  <c r="CP13" i="1" s="1"/>
  <c r="AQ13" i="1" s="1"/>
  <c r="X14" i="5" s="1"/>
  <c r="CU18" i="1"/>
  <c r="AR18" i="1" s="1"/>
  <c r="Y19" i="5" s="1"/>
  <c r="CU20" i="1"/>
  <c r="AR20" i="1" s="1"/>
  <c r="Y21" i="5" s="1"/>
  <c r="CU21" i="1"/>
  <c r="AR21" i="1" s="1"/>
  <c r="Y22" i="5" s="1"/>
  <c r="CI6" i="1"/>
  <c r="CL6" i="1" s="1"/>
  <c r="AP6" i="1" s="1"/>
  <c r="W7" i="5" s="1"/>
  <c r="CM6" i="1"/>
  <c r="CP6" i="1" s="1"/>
  <c r="AQ6" i="1" s="1"/>
  <c r="X7" i="5" s="1"/>
  <c r="CM5" i="1"/>
  <c r="CP5" i="1" s="1"/>
  <c r="AQ5" i="1" s="1"/>
  <c r="X6" i="5" s="1"/>
  <c r="CI5" i="1"/>
  <c r="CL5" i="1" s="1"/>
  <c r="AP5" i="1" s="1"/>
  <c r="W6" i="5" s="1"/>
  <c r="CE22" i="1"/>
  <c r="CH22" i="1" s="1"/>
  <c r="AO22" i="1" s="1"/>
  <c r="V23" i="5" s="1"/>
  <c r="CA22" i="1"/>
  <c r="CD22" i="1" s="1"/>
  <c r="AN22" i="1" s="1"/>
  <c r="U23" i="5" s="1"/>
  <c r="CE5" i="1"/>
  <c r="CH5" i="1" s="1"/>
  <c r="AO5" i="1" s="1"/>
  <c r="V6" i="5" s="1"/>
  <c r="CA5" i="1"/>
  <c r="CD5" i="1" s="1"/>
  <c r="AN5" i="1" s="1"/>
  <c r="U6" i="5" s="1"/>
  <c r="CE33" i="1"/>
  <c r="CH33" i="1" s="1"/>
  <c r="AO33" i="1" s="1"/>
  <c r="V34" i="5" s="1"/>
  <c r="CA33" i="1"/>
  <c r="CD33" i="1" s="1"/>
  <c r="AN33" i="1" s="1"/>
  <c r="U34" i="5" s="1"/>
  <c r="CU19" i="1"/>
  <c r="AR19" i="1" s="1"/>
  <c r="Y20" i="5" s="1"/>
  <c r="CM24" i="1"/>
  <c r="CP24" i="1" s="1"/>
  <c r="AQ24" i="1" s="1"/>
  <c r="X25" i="5" s="1"/>
  <c r="CI24" i="1"/>
  <c r="CL24" i="1" s="1"/>
  <c r="AP24" i="1" s="1"/>
  <c r="W25" i="5" s="1"/>
  <c r="CM12" i="1"/>
  <c r="CP12" i="1" s="1"/>
  <c r="AQ12" i="1" s="1"/>
  <c r="X13" i="5" s="1"/>
  <c r="CI12" i="1"/>
  <c r="CL12" i="1" s="1"/>
  <c r="AP12" i="1" s="1"/>
  <c r="W13" i="5" s="1"/>
  <c r="CH7" i="1"/>
  <c r="AO7" i="1" s="1"/>
  <c r="V8" i="5" s="1"/>
  <c r="CM33" i="1"/>
  <c r="CP33" i="1" s="1"/>
  <c r="AQ33" i="1" s="1"/>
  <c r="X34" i="5" s="1"/>
  <c r="CI33" i="1"/>
  <c r="CL33" i="1" s="1"/>
  <c r="AP33" i="1" s="1"/>
  <c r="W34" i="5" s="1"/>
  <c r="CE12" i="1"/>
  <c r="CH12" i="1" s="1"/>
  <c r="AO12" i="1" s="1"/>
  <c r="V13" i="5" s="1"/>
  <c r="CA12" i="1"/>
  <c r="CD12" i="1" s="1"/>
  <c r="AN12" i="1" s="1"/>
  <c r="U13" i="5" s="1"/>
  <c r="CE13" i="1"/>
  <c r="CH13" i="1" s="1"/>
  <c r="AO13" i="1" s="1"/>
  <c r="V14" i="5" s="1"/>
  <c r="CA13" i="1"/>
  <c r="CD13" i="1" s="1"/>
  <c r="AN13" i="1" s="1"/>
  <c r="U14" i="5" s="1"/>
  <c r="CU7" i="1"/>
  <c r="AR7" i="1" s="1"/>
  <c r="Y8" i="5" s="1"/>
  <c r="CU15" i="1"/>
  <c r="AR15" i="1" s="1"/>
  <c r="Y16" i="5" s="1"/>
  <c r="CM36" i="1"/>
  <c r="CP36" i="1" s="1"/>
  <c r="AQ36" i="1" s="1"/>
  <c r="X37" i="5" s="1"/>
  <c r="CI36" i="1"/>
  <c r="CL36" i="1" s="1"/>
  <c r="AP36" i="1" s="1"/>
  <c r="W37" i="5" s="1"/>
  <c r="CM31" i="1"/>
  <c r="CP31" i="1" s="1"/>
  <c r="AQ31" i="1" s="1"/>
  <c r="X32" i="5" s="1"/>
  <c r="CI31" i="1"/>
  <c r="CL31" i="1" s="1"/>
  <c r="AP31" i="1" s="1"/>
  <c r="W32" i="5" s="1"/>
  <c r="CU32" i="1"/>
  <c r="AR32" i="1" s="1"/>
  <c r="Y33" i="5" s="1"/>
  <c r="BQ42" i="1"/>
  <c r="BQ41" i="1"/>
  <c r="I5" i="5"/>
  <c r="CM20" i="1"/>
  <c r="CP20" i="1" s="1"/>
  <c r="AQ20" i="1" s="1"/>
  <c r="X21" i="5" s="1"/>
  <c r="CI20" i="1"/>
  <c r="CL20" i="1" s="1"/>
  <c r="AP20" i="1" s="1"/>
  <c r="W21" i="5" s="1"/>
  <c r="CD4" i="1"/>
  <c r="AN4" i="1" s="1"/>
  <c r="U5" i="5" s="1"/>
  <c r="CE4" i="1"/>
  <c r="CH4" i="1" s="1"/>
  <c r="AO4" i="1" s="1"/>
  <c r="V5" i="5" s="1"/>
  <c r="BA41" i="1"/>
  <c r="BA42" i="1"/>
  <c r="CM19" i="1"/>
  <c r="CP19" i="1" s="1"/>
  <c r="AQ19" i="1" s="1"/>
  <c r="X20" i="5" s="1"/>
  <c r="CI19" i="1"/>
  <c r="CL19" i="1" s="1"/>
  <c r="AP19" i="1" s="1"/>
  <c r="W20" i="5" s="1"/>
  <c r="CI32" i="1"/>
  <c r="CL32" i="1" s="1"/>
  <c r="AP32" i="1" s="1"/>
  <c r="W33" i="5" s="1"/>
  <c r="CM32" i="1"/>
  <c r="CP32" i="1" s="1"/>
  <c r="AQ32" i="1" s="1"/>
  <c r="X33" i="5" s="1"/>
  <c r="CE18" i="1"/>
  <c r="CH18" i="1" s="1"/>
  <c r="AO18" i="1" s="1"/>
  <c r="V19" i="5" s="1"/>
  <c r="CA18" i="1"/>
  <c r="CD18" i="1" s="1"/>
  <c r="AN18" i="1" s="1"/>
  <c r="U19" i="5" s="1"/>
  <c r="CE8" i="1"/>
  <c r="CH8" i="1" s="1"/>
  <c r="AO8" i="1" s="1"/>
  <c r="V9" i="5" s="1"/>
  <c r="CA8" i="1"/>
  <c r="CD8" i="1" s="1"/>
  <c r="AN8" i="1" s="1"/>
  <c r="U9" i="5" s="1"/>
  <c r="CE26" i="1"/>
  <c r="CH26" i="1" s="1"/>
  <c r="AO26" i="1" s="1"/>
  <c r="V27" i="5" s="1"/>
  <c r="CA26" i="1"/>
  <c r="CD26" i="1" s="1"/>
  <c r="AN26" i="1" s="1"/>
  <c r="U27" i="5" s="1"/>
  <c r="AI4" i="1"/>
  <c r="Q5" i="5" s="1"/>
  <c r="BY41" i="1"/>
  <c r="BY42" i="1"/>
  <c r="CM8" i="1"/>
  <c r="CP8" i="1" s="1"/>
  <c r="AQ8" i="1" s="1"/>
  <c r="X9" i="5" s="1"/>
  <c r="CI8" i="1"/>
  <c r="CL8" i="1" s="1"/>
  <c r="AP8" i="1" s="1"/>
  <c r="W9" i="5" s="1"/>
  <c r="CD7" i="1"/>
  <c r="AN7" i="1" s="1"/>
  <c r="U8" i="5" s="1"/>
  <c r="CM23" i="1"/>
  <c r="CP23" i="1" s="1"/>
  <c r="AQ23" i="1" s="1"/>
  <c r="X24" i="5" s="1"/>
  <c r="CI23" i="1"/>
  <c r="CL23" i="1" s="1"/>
  <c r="AP23" i="1" s="1"/>
  <c r="W24" i="5" s="1"/>
  <c r="CM7" i="1"/>
  <c r="CP7" i="1" s="1"/>
  <c r="AQ7" i="1" s="1"/>
  <c r="X8" i="5" s="1"/>
  <c r="CI7" i="1"/>
  <c r="CL7" i="1" s="1"/>
  <c r="AP7" i="1" s="1"/>
  <c r="W8" i="5" s="1"/>
  <c r="CP27" i="1"/>
  <c r="AQ27" i="1" s="1"/>
  <c r="X28" i="5" s="1"/>
  <c r="CA29" i="1"/>
  <c r="CD29" i="1" s="1"/>
  <c r="AN29" i="1" s="1"/>
  <c r="U30" i="5" s="1"/>
  <c r="CE29" i="1"/>
  <c r="CH29" i="1" s="1"/>
  <c r="AO29" i="1" s="1"/>
  <c r="V30" i="5" s="1"/>
  <c r="CU38" i="1"/>
  <c r="AR38" i="1" s="1"/>
  <c r="Y39" i="5" s="1"/>
  <c r="CI25" i="1"/>
  <c r="CL25" i="1" s="1"/>
  <c r="AP25" i="1" s="1"/>
  <c r="W26" i="5" s="1"/>
  <c r="CM25" i="1"/>
  <c r="CP25" i="1" s="1"/>
  <c r="AQ25" i="1" s="1"/>
  <c r="X26" i="5" s="1"/>
  <c r="CU25" i="1"/>
  <c r="AR25" i="1" s="1"/>
  <c r="Y26" i="5" s="1"/>
  <c r="CU13" i="1"/>
  <c r="AR13" i="1" s="1"/>
  <c r="Y14" i="5" s="1"/>
  <c r="CH37" i="1"/>
  <c r="AO37" i="1" s="1"/>
  <c r="V38" i="5" s="1"/>
  <c r="CU4" i="1"/>
  <c r="AR4" i="1" s="1"/>
  <c r="Y5" i="5" s="1"/>
  <c r="CM4" i="1"/>
  <c r="CP4" i="1" s="1"/>
  <c r="AQ4" i="1" s="1"/>
  <c r="X5" i="5" s="1"/>
  <c r="CI4" i="1"/>
  <c r="CL4" i="1" s="1"/>
  <c r="AP4" i="1" s="1"/>
  <c r="W5" i="5" s="1"/>
  <c r="AZ42" i="1"/>
  <c r="AZ41" i="1"/>
  <c r="CI22" i="1"/>
  <c r="CL22" i="1" s="1"/>
  <c r="AP22" i="1" s="1"/>
  <c r="W23" i="5" s="1"/>
  <c r="CM22" i="1"/>
  <c r="CP22" i="1" s="1"/>
  <c r="AQ22" i="1" s="1"/>
  <c r="X23" i="5" s="1"/>
  <c r="CI26" i="1"/>
  <c r="CL26" i="1" s="1"/>
  <c r="AP26" i="1" s="1"/>
  <c r="W27" i="5" s="1"/>
  <c r="CM26" i="1"/>
  <c r="CP26" i="1" s="1"/>
  <c r="AQ26" i="1" s="1"/>
  <c r="X27" i="5" s="1"/>
  <c r="CE16" i="1"/>
  <c r="CH16" i="1" s="1"/>
  <c r="AO16" i="1" s="1"/>
  <c r="V17" i="5" s="1"/>
  <c r="CA16" i="1"/>
  <c r="CD16" i="1" s="1"/>
  <c r="AN16" i="1" s="1"/>
  <c r="U17" i="5" s="1"/>
  <c r="CA11" i="1"/>
  <c r="CD11" i="1" s="1"/>
  <c r="AN11" i="1" s="1"/>
  <c r="U12" i="5" s="1"/>
  <c r="CE11" i="1"/>
  <c r="CH11" i="1" s="1"/>
  <c r="AO11" i="1" s="1"/>
  <c r="V12" i="5" s="1"/>
  <c r="CU12" i="1"/>
  <c r="AR12" i="1" s="1"/>
  <c r="Y13" i="5" s="1"/>
  <c r="CI37" i="1"/>
  <c r="CL37" i="1" s="1"/>
  <c r="AP37" i="1" s="1"/>
  <c r="W38" i="5" s="1"/>
  <c r="CM37" i="1"/>
  <c r="CP37" i="1" s="1"/>
  <c r="AQ37" i="1" s="1"/>
  <c r="X38" i="5" s="1"/>
  <c r="CU36" i="1"/>
  <c r="AR36" i="1" s="1"/>
  <c r="Y37" i="5" s="1"/>
  <c r="CU27" i="1"/>
  <c r="AR27" i="1" s="1"/>
  <c r="Y28" i="5" s="1"/>
  <c r="CD37" i="1"/>
  <c r="AN37" i="1" s="1"/>
  <c r="U38" i="5" s="1"/>
</calcChain>
</file>

<file path=xl/sharedStrings.xml><?xml version="1.0" encoding="utf-8"?>
<sst xmlns="http://schemas.openxmlformats.org/spreadsheetml/2006/main" count="136" uniqueCount="88">
  <si>
    <t>Soc +</t>
  </si>
  <si>
    <t>Soc -</t>
  </si>
  <si>
    <t>Pro</t>
  </si>
  <si>
    <t>VF</t>
  </si>
  <si>
    <t>VV</t>
  </si>
  <si>
    <t>VR</t>
  </si>
  <si>
    <t>Agressivitat</t>
  </si>
  <si>
    <t>Victimització</t>
  </si>
  <si>
    <t>Pros</t>
  </si>
  <si>
    <t>Rebutjat</t>
  </si>
  <si>
    <t>Ignorat</t>
  </si>
  <si>
    <t>Controvertit</t>
  </si>
  <si>
    <t>Z Soc +</t>
  </si>
  <si>
    <t>Z Soc -</t>
  </si>
  <si>
    <t>Impac</t>
  </si>
  <si>
    <t>Prefer</t>
  </si>
  <si>
    <t>Z Impac</t>
  </si>
  <si>
    <t>Z Prefer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</si>
  <si>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</si>
  <si>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</si>
  <si>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</si>
  <si>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</si>
  <si>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</si>
  <si>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</si>
  <si>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</si>
  <si>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</si>
  <si>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</si>
  <si>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</si>
  <si>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</si>
  <si>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</si>
  <si>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 Pros</t>
  </si>
  <si>
    <t>Pop</t>
  </si>
  <si>
    <t>Reb</t>
  </si>
  <si>
    <t>Ign</t>
  </si>
  <si>
    <t>Con</t>
  </si>
  <si>
    <t>Nor</t>
  </si>
  <si>
    <t>Mitjana</t>
  </si>
  <si>
    <t>Popular</t>
  </si>
  <si>
    <t>Total Victimització</t>
  </si>
  <si>
    <t>Victimització Física</t>
  </si>
  <si>
    <t>Victimització Verbal</t>
  </si>
  <si>
    <t>Victimització Relacional</t>
  </si>
  <si>
    <t>Prosocialitat</t>
  </si>
  <si>
    <t>Estatus sociomètric</t>
  </si>
  <si>
    <t>AF</t>
  </si>
  <si>
    <t>AV</t>
  </si>
  <si>
    <t>Amics</t>
  </si>
  <si>
    <t>ARI</t>
  </si>
  <si>
    <t>ARD</t>
  </si>
  <si>
    <t>AR I</t>
  </si>
  <si>
    <t>AR D</t>
  </si>
  <si>
    <t>AR</t>
  </si>
  <si>
    <t>Z AR</t>
  </si>
  <si>
    <t>Tot A</t>
  </si>
  <si>
    <t>Z Tot A</t>
  </si>
  <si>
    <t>Tot V</t>
  </si>
  <si>
    <t>Z Tot V</t>
  </si>
  <si>
    <t>Normal</t>
  </si>
  <si>
    <t>Total Agressivitat</t>
  </si>
  <si>
    <t>Agressivitat Física</t>
  </si>
  <si>
    <t>Agressivitat Verbal</t>
  </si>
  <si>
    <t>Agressivitat Relacional</t>
  </si>
  <si>
    <t>Alumnes</t>
  </si>
  <si>
    <t>Prosocial</t>
  </si>
  <si>
    <t>Tries positives</t>
  </si>
  <si>
    <t>Tries negatives</t>
  </si>
  <si>
    <t>M'agrada (+)</t>
  </si>
  <si>
    <t>No m'agrada (-)</t>
  </si>
  <si>
    <t>Anima (Prosocial)</t>
  </si>
  <si>
    <t>Ajuda (Prosocial)</t>
  </si>
  <si>
    <t>Empenta (Ag Física)</t>
  </si>
  <si>
    <t>Insulta (Ag Verbal)</t>
  </si>
  <si>
    <t>L'insulten (Víc Verbal)</t>
  </si>
  <si>
    <t>L'exclouen (Vic Relac)</t>
  </si>
  <si>
    <t>L'empenten (Vic Fís)</t>
  </si>
  <si>
    <t>Exclou (Ag Relac)</t>
  </si>
  <si>
    <t>Rumor (Ag Relac)</t>
  </si>
  <si>
    <t>mitjana</t>
  </si>
  <si>
    <t>desviació estándar</t>
  </si>
  <si>
    <t>Desviació estándar</t>
  </si>
  <si>
    <t>Recompte puntuació 0</t>
  </si>
  <si>
    <t>Total nominacions</t>
  </si>
  <si>
    <t>Norma</t>
  </si>
  <si>
    <t>Normatiu</t>
  </si>
  <si>
    <t xml:space="preserve">Centre i grup: </t>
  </si>
  <si>
    <t xml:space="preserve">Data: </t>
  </si>
  <si>
    <t>1. Entra els Noms del Alumnes</t>
  </si>
  <si>
    <t>2. Entra les respostes dels alumnes: en el full estan en vertical i aquí les has d'entrar en horitzontal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</si>
</sst>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9"/>
      <name val="Arial Narrow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name val="Arial Narrow"/>
      <family val="2"/>
    </font>
    <font>
      <b/>
      <sz val="14"/>
      <name val="Arial Narrow"/>
      <family val="2"/>
    </font>
    <font>
      <b/>
      <sz val="10"/>
      <name val="Arial Narrow"/>
      <family val="2"/>
    </font>
    <font>
      <b/>
      <sz val="12"/>
      <color rgb="FF0070C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3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1" fillId="5" borderId="0" xfId="0" applyFont="1" applyFill="1"/>
    <xf numFmtId="0" fontId="0" fillId="6" borderId="0" xfId="0" applyFill="1"/>
    <xf numFmtId="0" fontId="1" fillId="6" borderId="0" xfId="0" applyFont="1" applyFill="1"/>
    <xf numFmtId="0" fontId="1" fillId="2" borderId="0" xfId="0" applyFont="1" applyFill="1"/>
    <xf numFmtId="0" fontId="2" fillId="0" borderId="0" xfId="0" applyFont="1"/>
    <xf numFmtId="0" fontId="0" fillId="7" borderId="0" xfId="0" applyFill="1"/>
    <xf numFmtId="0" fontId="1" fillId="7" borderId="0" xfId="0" applyFont="1" applyFill="1"/>
    <xf numFmtId="0" fontId="0" fillId="0" borderId="1" xfId="0" applyBorder="1"/>
    <xf numFmtId="0" fontId="1" fillId="0" borderId="1" xfId="0" applyFont="1" applyBorder="1"/>
    <xf numFmtId="0" fontId="0" fillId="8" borderId="0" xfId="0" applyFill="1"/>
    <xf numFmtId="1" fontId="0" fillId="8" borderId="0" xfId="0" applyNumberFormat="1" applyFill="1"/>
    <xf numFmtId="0" fontId="1" fillId="3" borderId="0" xfId="0" applyFont="1" applyFill="1"/>
    <xf numFmtId="2" fontId="0" fillId="8" borderId="0" xfId="0" applyNumberFormat="1" applyFill="1"/>
    <xf numFmtId="2" fontId="0" fillId="0" borderId="0" xfId="0" applyNumberFormat="1"/>
    <xf numFmtId="0" fontId="0" fillId="4" borderId="0" xfId="0" applyFill="1"/>
    <xf numFmtId="0" fontId="0" fillId="5" borderId="0" xfId="0" applyFill="1"/>
    <xf numFmtId="0" fontId="0" fillId="0" borderId="2" xfId="0" applyBorder="1"/>
    <xf numFmtId="2" fontId="1" fillId="0" borderId="0" xfId="0" applyNumberFormat="1" applyFont="1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1" fontId="1" fillId="0" borderId="0" xfId="0" applyNumberFormat="1" applyFont="1"/>
    <xf numFmtId="0" fontId="1" fillId="8" borderId="0" xfId="0" applyFont="1" applyFill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9" borderId="0" xfId="0" applyFill="1"/>
    <xf numFmtId="16" fontId="0" fillId="0" borderId="0" xfId="0" applyNumberFormat="1"/>
    <xf numFmtId="2" fontId="1" fillId="0" borderId="3" xfId="0" applyNumberFormat="1" applyFont="1" applyBorder="1"/>
    <xf numFmtId="0" fontId="0" fillId="0" borderId="4" xfId="0" applyBorder="1"/>
    <xf numFmtId="0" fontId="1" fillId="0" borderId="4" xfId="0" applyFont="1" applyBorder="1"/>
    <xf numFmtId="0" fontId="0" fillId="0" borderId="5" xfId="0" applyBorder="1"/>
    <xf numFmtId="0" fontId="0" fillId="0" borderId="6" xfId="0" applyBorder="1"/>
    <xf numFmtId="0" fontId="3" fillId="0" borderId="7" xfId="0" applyFont="1" applyBorder="1"/>
    <xf numFmtId="0" fontId="3" fillId="0" borderId="8" xfId="0" applyFont="1" applyBorder="1"/>
    <xf numFmtId="2" fontId="0" fillId="0" borderId="9" xfId="0" applyNumberFormat="1" applyBorder="1"/>
    <xf numFmtId="2" fontId="1" fillId="0" borderId="10" xfId="0" applyNumberFormat="1" applyFont="1" applyBorder="1"/>
    <xf numFmtId="2" fontId="3" fillId="0" borderId="11" xfId="0" applyNumberFormat="1" applyFont="1" applyBorder="1"/>
    <xf numFmtId="0" fontId="1" fillId="0" borderId="2" xfId="0" applyFont="1" applyBorder="1"/>
    <xf numFmtId="0" fontId="3" fillId="0" borderId="2" xfId="0" applyFont="1" applyBorder="1"/>
    <xf numFmtId="0" fontId="2" fillId="0" borderId="5" xfId="0" applyFont="1" applyBorder="1"/>
    <xf numFmtId="16" fontId="2" fillId="0" borderId="10" xfId="0" applyNumberFormat="1" applyFont="1" applyBorder="1"/>
    <xf numFmtId="16" fontId="0" fillId="0" borderId="3" xfId="0" applyNumberFormat="1" applyBorder="1"/>
    <xf numFmtId="0" fontId="0" fillId="0" borderId="3" xfId="0" applyBorder="1"/>
    <xf numFmtId="0" fontId="2" fillId="0" borderId="3" xfId="0" applyFont="1" applyBorder="1"/>
    <xf numFmtId="0" fontId="4" fillId="0" borderId="11" xfId="0" applyFont="1" applyBorder="1"/>
    <xf numFmtId="0" fontId="0" fillId="0" borderId="12" xfId="0" applyBorder="1"/>
    <xf numFmtId="0" fontId="0" fillId="0" borderId="2" xfId="0" applyBorder="1" applyAlignment="1">
      <alignment horizontal="center"/>
    </xf>
    <xf numFmtId="0" fontId="2" fillId="0" borderId="6" xfId="0" applyFont="1" applyBorder="1"/>
    <xf numFmtId="0" fontId="0" fillId="0" borderId="7" xfId="0" applyBorder="1"/>
    <xf numFmtId="0" fontId="0" fillId="0" borderId="11" xfId="0" applyBorder="1"/>
    <xf numFmtId="0" fontId="0" fillId="0" borderId="13" xfId="0" applyBorder="1"/>
    <xf numFmtId="2" fontId="0" fillId="0" borderId="8" xfId="0" applyNumberFormat="1" applyBorder="1"/>
    <xf numFmtId="2" fontId="0" fillId="0" borderId="3" xfId="0" applyNumberFormat="1" applyBorder="1"/>
    <xf numFmtId="2" fontId="1" fillId="0" borderId="11" xfId="0" applyNumberFormat="1" applyFont="1" applyBorder="1"/>
    <xf numFmtId="0" fontId="0" fillId="0" borderId="14" xfId="0" applyBorder="1"/>
    <xf numFmtId="2" fontId="0" fillId="3" borderId="0" xfId="0" applyNumberFormat="1" applyFill="1"/>
    <xf numFmtId="2" fontId="0" fillId="6" borderId="0" xfId="0" applyNumberFormat="1" applyFill="1"/>
    <xf numFmtId="0" fontId="0" fillId="2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textRotation="90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/>
    <xf numFmtId="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5" fillId="0" borderId="4" xfId="0" applyFont="1" applyBorder="1" applyAlignment="1">
      <alignment textRotation="90"/>
    </xf>
    <xf numFmtId="0" fontId="5" fillId="0" borderId="2" xfId="0" applyFont="1" applyBorder="1" applyAlignment="1">
      <alignment horizontal="center"/>
    </xf>
    <xf numFmtId="1" fontId="0" fillId="0" borderId="1" xfId="0" applyNumberFormat="1" applyBorder="1"/>
    <xf numFmtId="1" fontId="1" fillId="0" borderId="1" xfId="0" applyNumberFormat="1" applyFont="1" applyBorder="1"/>
    <xf numFmtId="1" fontId="1" fillId="0" borderId="4" xfId="0" applyNumberFormat="1" applyFont="1" applyBorder="1"/>
    <xf numFmtId="0" fontId="0" fillId="0" borderId="32" xfId="0" applyBorder="1"/>
    <xf numFmtId="0" fontId="0" fillId="0" borderId="30" xfId="0" applyBorder="1"/>
    <xf numFmtId="0" fontId="0" fillId="0" borderId="29" xfId="0" applyBorder="1"/>
    <xf numFmtId="1" fontId="0" fillId="0" borderId="14" xfId="0" applyNumberFormat="1" applyBorder="1"/>
    <xf numFmtId="1" fontId="0" fillId="0" borderId="17" xfId="0" applyNumberFormat="1" applyBorder="1"/>
    <xf numFmtId="1" fontId="0" fillId="0" borderId="26" xfId="0" applyNumberFormat="1" applyBorder="1"/>
    <xf numFmtId="16" fontId="5" fillId="0" borderId="0" xfId="0" applyNumberFormat="1" applyFont="1"/>
    <xf numFmtId="0" fontId="7" fillId="0" borderId="0" xfId="0" applyFont="1" applyAlignment="1">
      <alignment vertical="center"/>
    </xf>
    <xf numFmtId="1" fontId="0" fillId="11" borderId="15" xfId="0" applyNumberFormat="1" applyFill="1" applyBorder="1"/>
    <xf numFmtId="1" fontId="0" fillId="11" borderId="16" xfId="0" applyNumberFormat="1" applyFill="1" applyBorder="1"/>
    <xf numFmtId="1" fontId="0" fillId="11" borderId="39" xfId="0" applyNumberFormat="1" applyFill="1" applyBorder="1"/>
    <xf numFmtId="1" fontId="0" fillId="11" borderId="40" xfId="0" applyNumberFormat="1" applyFill="1" applyBorder="1"/>
    <xf numFmtId="0" fontId="0" fillId="2" borderId="1" xfId="0" applyFill="1" applyBorder="1"/>
    <xf numFmtId="0" fontId="0" fillId="3" borderId="1" xfId="0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3" borderId="1" xfId="0" applyFont="1" applyFill="1" applyBorder="1"/>
    <xf numFmtId="0" fontId="1" fillId="6" borderId="1" xfId="0" applyFont="1" applyFill="1" applyBorder="1"/>
    <xf numFmtId="0" fontId="1" fillId="2" borderId="1" xfId="0" applyFont="1" applyFill="1" applyBorder="1"/>
    <xf numFmtId="0" fontId="5" fillId="11" borderId="13" xfId="0" applyFont="1" applyFill="1" applyBorder="1"/>
    <xf numFmtId="0" fontId="5" fillId="11" borderId="9" xfId="0" applyFont="1" applyFill="1" applyBorder="1"/>
    <xf numFmtId="0" fontId="5" fillId="11" borderId="8" xfId="0" applyFont="1" applyFill="1" applyBorder="1"/>
    <xf numFmtId="0" fontId="5" fillId="11" borderId="0" xfId="0" applyFont="1" applyFill="1"/>
    <xf numFmtId="0" fontId="5" fillId="0" borderId="13" xfId="0" applyFont="1" applyBorder="1"/>
    <xf numFmtId="0" fontId="5" fillId="0" borderId="9" xfId="0" applyFont="1" applyBorder="1"/>
    <xf numFmtId="0" fontId="5" fillId="0" borderId="8" xfId="0" applyFont="1" applyBorder="1"/>
    <xf numFmtId="0" fontId="5" fillId="0" borderId="0" xfId="0" applyFont="1"/>
    <xf numFmtId="0" fontId="5" fillId="11" borderId="2" xfId="0" applyFont="1" applyFill="1" applyBorder="1"/>
    <xf numFmtId="0" fontId="5" fillId="11" borderId="10" xfId="0" applyFont="1" applyFill="1" applyBorder="1"/>
    <xf numFmtId="0" fontId="5" fillId="11" borderId="11" xfId="0" applyFont="1" applyFill="1" applyBorder="1"/>
    <xf numFmtId="0" fontId="5" fillId="11" borderId="3" xfId="0" applyFont="1" applyFill="1" applyBorder="1"/>
    <xf numFmtId="0" fontId="10" fillId="9" borderId="0" xfId="0" applyFont="1" applyFill="1"/>
    <xf numFmtId="0" fontId="10" fillId="11" borderId="21" xfId="0" applyFont="1" applyFill="1" applyBorder="1" applyAlignment="1">
      <alignment textRotation="90"/>
    </xf>
    <xf numFmtId="0" fontId="10" fillId="0" borderId="20" xfId="0" applyFont="1" applyBorder="1" applyAlignment="1">
      <alignment textRotation="90"/>
    </xf>
    <xf numFmtId="0" fontId="10" fillId="0" borderId="25" xfId="0" applyFont="1" applyBorder="1" applyAlignment="1">
      <alignment textRotation="90"/>
    </xf>
    <xf numFmtId="0" fontId="10" fillId="0" borderId="21" xfId="0" applyFont="1" applyBorder="1" applyAlignment="1">
      <alignment horizontal="center" textRotation="90"/>
    </xf>
    <xf numFmtId="0" fontId="10" fillId="0" borderId="20" xfId="0" applyFont="1" applyBorder="1" applyAlignment="1">
      <alignment horizontal="center" textRotation="90"/>
    </xf>
    <xf numFmtId="0" fontId="10" fillId="0" borderId="25" xfId="0" applyFont="1" applyBorder="1" applyAlignment="1">
      <alignment horizontal="center" textRotation="90"/>
    </xf>
    <xf numFmtId="0" fontId="10" fillId="0" borderId="33" xfId="0" applyFont="1" applyBorder="1" applyAlignment="1">
      <alignment textRotation="90"/>
    </xf>
    <xf numFmtId="0" fontId="10" fillId="11" borderId="31" xfId="0" applyFont="1" applyFill="1" applyBorder="1" applyAlignment="1">
      <alignment textRotation="90"/>
    </xf>
    <xf numFmtId="0" fontId="10" fillId="0" borderId="21" xfId="0" applyFont="1" applyBorder="1" applyAlignment="1">
      <alignment textRotation="90"/>
    </xf>
    <xf numFmtId="0" fontId="10" fillId="0" borderId="41" xfId="0" applyFont="1" applyBorder="1" applyAlignment="1">
      <alignment textRotation="90"/>
    </xf>
    <xf numFmtId="0" fontId="10" fillId="0" borderId="22" xfId="0" applyFont="1" applyBorder="1" applyAlignment="1">
      <alignment textRotation="90"/>
    </xf>
    <xf numFmtId="0" fontId="12" fillId="0" borderId="24" xfId="0" applyFont="1" applyBorder="1" applyAlignment="1">
      <alignment horizontal="center"/>
    </xf>
    <xf numFmtId="0" fontId="6" fillId="0" borderId="0" xfId="0" applyFont="1" applyAlignment="1">
      <alignment shrinkToFit="1"/>
    </xf>
    <xf numFmtId="2" fontId="6" fillId="11" borderId="27" xfId="0" applyNumberFormat="1" applyFont="1" applyFill="1" applyBorder="1" applyAlignment="1">
      <alignment shrinkToFit="1"/>
    </xf>
    <xf numFmtId="2" fontId="6" fillId="0" borderId="2" xfId="0" applyNumberFormat="1" applyFont="1" applyBorder="1" applyAlignment="1">
      <alignment shrinkToFit="1"/>
    </xf>
    <xf numFmtId="2" fontId="6" fillId="0" borderId="28" xfId="0" applyNumberFormat="1" applyFont="1" applyBorder="1" applyAlignment="1">
      <alignment shrinkToFit="1"/>
    </xf>
    <xf numFmtId="0" fontId="6" fillId="0" borderId="0" xfId="0" applyFont="1" applyAlignment="1">
      <alignment horizontal="center" shrinkToFit="1"/>
    </xf>
    <xf numFmtId="2" fontId="6" fillId="11" borderId="29" xfId="0" applyNumberFormat="1" applyFont="1" applyFill="1" applyBorder="1" applyAlignment="1">
      <alignment shrinkToFit="1"/>
    </xf>
    <xf numFmtId="2" fontId="6" fillId="0" borderId="27" xfId="0" applyNumberFormat="1" applyFont="1" applyBorder="1" applyAlignment="1">
      <alignment shrinkToFit="1"/>
    </xf>
    <xf numFmtId="2" fontId="6" fillId="11" borderId="16" xfId="0" applyNumberFormat="1" applyFont="1" applyFill="1" applyBorder="1" applyAlignment="1">
      <alignment shrinkToFit="1"/>
    </xf>
    <xf numFmtId="2" fontId="6" fillId="0" borderId="17" xfId="0" applyNumberFormat="1" applyFont="1" applyBorder="1" applyAlignment="1">
      <alignment shrinkToFit="1"/>
    </xf>
    <xf numFmtId="2" fontId="6" fillId="0" borderId="19" xfId="0" applyNumberFormat="1" applyFont="1" applyBorder="1" applyAlignment="1">
      <alignment shrinkToFit="1"/>
    </xf>
    <xf numFmtId="2" fontId="6" fillId="0" borderId="0" xfId="0" applyNumberFormat="1" applyFont="1" applyAlignment="1">
      <alignment horizontal="center" shrinkToFit="1"/>
    </xf>
    <xf numFmtId="2" fontId="6" fillId="11" borderId="30" xfId="0" applyNumberFormat="1" applyFont="1" applyFill="1" applyBorder="1" applyAlignment="1">
      <alignment shrinkToFit="1"/>
    </xf>
    <xf numFmtId="2" fontId="6" fillId="0" borderId="16" xfId="0" applyNumberFormat="1" applyFont="1" applyBorder="1" applyAlignment="1">
      <alignment shrinkToFit="1"/>
    </xf>
    <xf numFmtId="0" fontId="0" fillId="0" borderId="0" xfId="0" applyAlignment="1">
      <alignment vertical="top"/>
    </xf>
    <xf numFmtId="0" fontId="1" fillId="0" borderId="1" xfId="0" applyFont="1" applyBorder="1" applyAlignment="1">
      <alignment horizontal="left" vertical="top"/>
    </xf>
    <xf numFmtId="0" fontId="0" fillId="0" borderId="0" xfId="0" applyAlignment="1">
      <alignment horizontal="center"/>
    </xf>
    <xf numFmtId="0" fontId="11" fillId="0" borderId="34" xfId="0" applyFont="1" applyBorder="1" applyAlignment="1">
      <alignment horizontal="left"/>
    </xf>
    <xf numFmtId="0" fontId="11" fillId="0" borderId="35" xfId="0" applyFont="1" applyBorder="1" applyAlignment="1">
      <alignment horizontal="left"/>
    </xf>
    <xf numFmtId="0" fontId="11" fillId="0" borderId="36" xfId="0" applyFont="1" applyBorder="1" applyAlignment="1">
      <alignment horizontal="left"/>
    </xf>
    <xf numFmtId="16" fontId="11" fillId="0" borderId="34" xfId="0" applyNumberFormat="1" applyFont="1" applyBorder="1" applyAlignment="1">
      <alignment horizontal="left"/>
    </xf>
    <xf numFmtId="16" fontId="11" fillId="0" borderId="35" xfId="0" applyNumberFormat="1" applyFont="1" applyBorder="1" applyAlignment="1">
      <alignment horizontal="left"/>
    </xf>
    <xf numFmtId="16" fontId="11" fillId="0" borderId="36" xfId="0" applyNumberFormat="1" applyFont="1" applyBorder="1" applyAlignment="1">
      <alignment horizontal="left"/>
    </xf>
    <xf numFmtId="0" fontId="12" fillId="0" borderId="37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34" xfId="0" applyFont="1" applyBorder="1" applyAlignment="1">
      <alignment horizontal="center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0" xfId="0" applyFont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2" fontId="1" fillId="3" borderId="0" xfId="0" applyNumberFormat="1" applyFont="1" applyFill="1"/>
    <xf numFmtId="2" fontId="1" fillId="5" borderId="0" xfId="0" applyNumberFormat="1" applyFont="1" applyFill="1"/>
    <xf numFmtId="2" fontId="1" fillId="8" borderId="0" xfId="0" applyNumberFormat="1" applyFont="1" applyFill="1"/>
    <xf numFmtId="0" fontId="1" fillId="2" borderId="0" xfId="0" applyFont="1" applyFill="1" applyAlignment="1">
      <alignment horizontal="center"/>
    </xf>
  </cellXfs>
  <cellStyles count="2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Normal" xfId="0" builtinId="0"/>
  </cellStyles>
  <dxfs count="0"/>
  <tableStyles count="0" defaultTableStyle="TableStyleMedium9" defaultPivotStyle="PivotStyleMedium4"/>
  <colors>
    <mruColors>
      <color rgb="FF00BA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44</xdr:row>
          <xdr:rowOff>152400</xdr:rowOff>
        </xdr:from>
        <xdr:to>
          <xdr:col>24</xdr:col>
          <xdr:colOff>22860</xdr:colOff>
          <xdr:row>50</xdr:row>
          <xdr:rowOff>0</xdr:rowOff>
        </xdr:to>
        <xdr:sp macro="" textlink="">
          <xdr:nvSpPr>
            <xdr:cNvPr id="2049" name="Button 1" descr="3. Apreta aqu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70C0"/>
                  </a:solidFill>
                  <a:latin typeface="Arial"/>
                  <a:cs typeface="Arial"/>
                </a:rPr>
                <a:t>3. Prem aquí per a imprimir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CV170"/>
  <sheetViews>
    <sheetView tabSelected="1" topLeftCell="A21" zoomScale="70" zoomScaleNormal="70" workbookViewId="0">
      <selection activeCell="B33" sqref="B33"/>
    </sheetView>
  </sheetViews>
  <sheetFormatPr baseColWidth="10" defaultColWidth="11.44140625" defaultRowHeight="13.2" x14ac:dyDescent="0.25"/>
  <cols>
    <col min="1" max="1" width="3.44140625" customWidth="1"/>
    <col min="2" max="2" width="29.77734375" customWidth="1"/>
    <col min="3" max="5" width="5" customWidth="1"/>
    <col min="6" max="14" width="5" style="1" customWidth="1"/>
    <col min="15" max="16" width="2" style="1" customWidth="1"/>
    <col min="17" max="20" width="4.77734375" customWidth="1"/>
    <col min="21" max="24" width="3.77734375" customWidth="1"/>
    <col min="25" max="25" width="1.33203125" customWidth="1"/>
    <col min="26" max="26" width="4.109375" customWidth="1"/>
    <col min="27" max="27" width="4.33203125" customWidth="1"/>
    <col min="28" max="28" width="1.6640625" customWidth="1"/>
    <col min="29" max="29" width="12.44140625" style="2" customWidth="1"/>
    <col min="30" max="30" width="1.44140625" customWidth="1"/>
    <col min="31" max="34" width="4.109375" customWidth="1"/>
    <col min="35" max="38" width="3.44140625" customWidth="1"/>
    <col min="39" max="39" width="1.33203125" customWidth="1"/>
    <col min="40" max="44" width="4.44140625" customWidth="1"/>
    <col min="45" max="46" width="3.77734375" customWidth="1"/>
    <col min="47" max="47" width="6.44140625" customWidth="1"/>
    <col min="48" max="50" width="7.44140625" customWidth="1"/>
    <col min="51" max="51" width="7.44140625" style="3" customWidth="1"/>
    <col min="52" max="53" width="7.44140625" customWidth="1"/>
    <col min="54" max="54" width="9" customWidth="1"/>
    <col min="55" max="66" width="6.77734375" customWidth="1"/>
    <col min="67" max="67" width="10.109375" customWidth="1"/>
    <col min="68" max="68" width="7.77734375" style="22" customWidth="1"/>
    <col min="69" max="71" width="7.77734375" style="5" customWidth="1"/>
    <col min="72" max="74" width="6.44140625" style="5" customWidth="1"/>
    <col min="75" max="76" width="7.77734375" style="5" customWidth="1"/>
    <col min="77" max="77" width="6.44140625" style="4" customWidth="1"/>
    <col min="78" max="87" width="5.44140625" style="4" customWidth="1"/>
    <col min="88" max="94" width="5.44140625" customWidth="1"/>
    <col min="95" max="99" width="6" customWidth="1"/>
  </cols>
  <sheetData>
    <row r="1" spans="1:99" x14ac:dyDescent="0.25">
      <c r="B1" t="s">
        <v>84</v>
      </c>
      <c r="C1" s="4">
        <v>1</v>
      </c>
      <c r="D1" s="4">
        <v>2</v>
      </c>
      <c r="E1" s="4">
        <v>3</v>
      </c>
      <c r="F1" s="32">
        <v>4</v>
      </c>
      <c r="G1" s="32">
        <v>5</v>
      </c>
      <c r="H1" s="32">
        <v>6</v>
      </c>
      <c r="I1" s="32">
        <v>7</v>
      </c>
      <c r="J1" s="32">
        <v>8</v>
      </c>
      <c r="K1" s="32">
        <v>9</v>
      </c>
      <c r="L1" s="32">
        <v>10</v>
      </c>
      <c r="M1" s="32">
        <v>11</v>
      </c>
      <c r="N1" s="32">
        <v>12</v>
      </c>
      <c r="Q1" s="47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40"/>
      <c r="AE1" s="47"/>
      <c r="AF1" s="39"/>
      <c r="AG1" s="39"/>
      <c r="AH1" s="39"/>
      <c r="AI1" s="39"/>
      <c r="AJ1" s="39"/>
      <c r="AK1" s="39"/>
      <c r="AL1" s="39"/>
      <c r="AM1" s="39"/>
      <c r="AN1" s="55"/>
      <c r="AO1" s="39"/>
      <c r="AP1" s="39"/>
      <c r="AQ1" s="55"/>
      <c r="AR1" s="55"/>
      <c r="AS1" s="39"/>
      <c r="AT1" s="56"/>
      <c r="BO1" s="4"/>
      <c r="BP1" s="5"/>
      <c r="BY1" s="5"/>
      <c r="CG1"/>
      <c r="CH1"/>
      <c r="CI1"/>
    </row>
    <row r="2" spans="1:99" x14ac:dyDescent="0.25">
      <c r="B2" s="34" t="s">
        <v>85</v>
      </c>
      <c r="C2" s="6" t="s">
        <v>0</v>
      </c>
      <c r="D2" s="6" t="s">
        <v>1</v>
      </c>
      <c r="E2" s="7" t="s">
        <v>49</v>
      </c>
      <c r="F2" s="8" t="s">
        <v>8</v>
      </c>
      <c r="G2" s="9" t="s">
        <v>44</v>
      </c>
      <c r="H2" s="7" t="s">
        <v>50</v>
      </c>
      <c r="I2" s="8" t="s">
        <v>8</v>
      </c>
      <c r="J2" s="9" t="s">
        <v>45</v>
      </c>
      <c r="K2" s="10" t="s">
        <v>3</v>
      </c>
      <c r="L2" s="11" t="s">
        <v>4</v>
      </c>
      <c r="M2" s="11" t="s">
        <v>5</v>
      </c>
      <c r="N2" s="12" t="s">
        <v>46</v>
      </c>
      <c r="O2"/>
      <c r="Q2" s="48"/>
      <c r="R2" s="49"/>
      <c r="S2" s="50"/>
      <c r="T2" s="50"/>
      <c r="U2" s="51" t="s">
        <v>6</v>
      </c>
      <c r="V2" s="51"/>
      <c r="W2" s="51"/>
      <c r="X2" s="51"/>
      <c r="Y2" s="51"/>
      <c r="Z2" s="51" t="s">
        <v>63</v>
      </c>
      <c r="AA2" s="51"/>
      <c r="AB2" s="13"/>
      <c r="AC2" s="52" t="s">
        <v>62</v>
      </c>
      <c r="AE2" s="48"/>
      <c r="AF2" s="49"/>
      <c r="AG2" s="50"/>
      <c r="AH2" s="50"/>
      <c r="AI2" s="51" t="s">
        <v>7</v>
      </c>
      <c r="AJ2" s="51"/>
      <c r="AK2" s="51"/>
      <c r="AL2" s="51"/>
      <c r="AM2" s="50"/>
      <c r="AN2" s="51" t="s">
        <v>43</v>
      </c>
      <c r="AO2" s="51"/>
      <c r="AP2" s="50"/>
      <c r="AQ2" s="51"/>
      <c r="AR2" s="51"/>
      <c r="AS2" s="50"/>
      <c r="AT2" s="57"/>
      <c r="BO2" s="4"/>
      <c r="BP2" s="5"/>
      <c r="BY2" s="5"/>
      <c r="CG2"/>
      <c r="CH2"/>
      <c r="CI2"/>
    </row>
    <row r="3" spans="1:99" ht="14.4" thickBot="1" x14ac:dyDescent="0.35">
      <c r="B3" s="117" t="s">
        <v>86</v>
      </c>
      <c r="C3" s="14">
        <v>1</v>
      </c>
      <c r="D3" s="14">
        <v>2</v>
      </c>
      <c r="E3" s="14">
        <v>3</v>
      </c>
      <c r="F3" s="15">
        <v>4</v>
      </c>
      <c r="G3" s="15">
        <v>5</v>
      </c>
      <c r="H3" s="15">
        <v>6</v>
      </c>
      <c r="I3" s="15">
        <v>7</v>
      </c>
      <c r="J3" s="15">
        <v>8</v>
      </c>
      <c r="K3" s="15">
        <v>9</v>
      </c>
      <c r="L3" s="15">
        <v>10</v>
      </c>
      <c r="M3" s="15">
        <v>11</v>
      </c>
      <c r="N3" s="15">
        <v>12</v>
      </c>
      <c r="Q3" s="25" t="s">
        <v>58</v>
      </c>
      <c r="R3" s="45" t="s">
        <v>59</v>
      </c>
      <c r="S3" s="25" t="s">
        <v>60</v>
      </c>
      <c r="T3" s="25" t="s">
        <v>61</v>
      </c>
      <c r="U3" s="25" t="s">
        <v>58</v>
      </c>
      <c r="V3" s="45" t="s">
        <v>59</v>
      </c>
      <c r="W3" s="25" t="s">
        <v>60</v>
      </c>
      <c r="X3" s="25" t="s">
        <v>61</v>
      </c>
      <c r="Z3" s="45" t="s">
        <v>42</v>
      </c>
      <c r="AA3" s="25" t="s">
        <v>42</v>
      </c>
      <c r="AB3" s="36"/>
      <c r="AC3" s="46"/>
      <c r="AE3" s="25" t="s">
        <v>38</v>
      </c>
      <c r="AF3" s="45" t="s">
        <v>39</v>
      </c>
      <c r="AG3" s="25" t="s">
        <v>40</v>
      </c>
      <c r="AH3" s="25" t="s">
        <v>41</v>
      </c>
      <c r="AI3" s="25" t="s">
        <v>38</v>
      </c>
      <c r="AJ3" s="45" t="s">
        <v>39</v>
      </c>
      <c r="AK3" s="25" t="s">
        <v>40</v>
      </c>
      <c r="AL3" s="25" t="s">
        <v>41</v>
      </c>
      <c r="AN3" s="45" t="s">
        <v>37</v>
      </c>
      <c r="AO3" s="53" t="s">
        <v>9</v>
      </c>
      <c r="AP3" s="53" t="s">
        <v>10</v>
      </c>
      <c r="AQ3" s="53" t="s">
        <v>11</v>
      </c>
      <c r="AR3" s="58" t="s">
        <v>82</v>
      </c>
      <c r="AS3" s="54" t="s">
        <v>64</v>
      </c>
      <c r="AT3" s="159" t="s">
        <v>65</v>
      </c>
      <c r="AV3" s="30" t="s">
        <v>12</v>
      </c>
      <c r="AW3" s="18" t="s">
        <v>13</v>
      </c>
      <c r="AX3" s="18" t="s">
        <v>14</v>
      </c>
      <c r="AY3" s="19" t="s">
        <v>15</v>
      </c>
      <c r="AZ3" s="18" t="s">
        <v>16</v>
      </c>
      <c r="BA3" s="18" t="s">
        <v>17</v>
      </c>
      <c r="BC3" s="12" t="s">
        <v>18</v>
      </c>
      <c r="BD3" s="6" t="s">
        <v>19</v>
      </c>
      <c r="BE3" s="7" t="s">
        <v>20</v>
      </c>
      <c r="BF3" s="8" t="s">
        <v>21</v>
      </c>
      <c r="BG3" s="9" t="s">
        <v>22</v>
      </c>
      <c r="BH3" s="20" t="s">
        <v>23</v>
      </c>
      <c r="BI3" s="8" t="s">
        <v>24</v>
      </c>
      <c r="BJ3" s="9" t="s">
        <v>25</v>
      </c>
      <c r="BK3" s="11" t="s">
        <v>26</v>
      </c>
      <c r="BL3" s="11" t="s">
        <v>27</v>
      </c>
      <c r="BM3" s="11" t="s">
        <v>28</v>
      </c>
      <c r="BN3" s="12" t="s">
        <v>29</v>
      </c>
      <c r="BP3" s="160" t="s">
        <v>51</v>
      </c>
      <c r="BQ3" s="63" t="s">
        <v>52</v>
      </c>
      <c r="BR3" s="161" t="s">
        <v>53</v>
      </c>
      <c r="BS3" s="161" t="s">
        <v>54</v>
      </c>
      <c r="BT3" s="22"/>
      <c r="BU3" s="162" t="s">
        <v>8</v>
      </c>
      <c r="BV3" s="21" t="s">
        <v>30</v>
      </c>
      <c r="BW3" s="22"/>
      <c r="BX3" s="64" t="s">
        <v>55</v>
      </c>
      <c r="BY3" s="64" t="s">
        <v>56</v>
      </c>
      <c r="BZ3"/>
      <c r="CA3" s="163" t="s">
        <v>31</v>
      </c>
      <c r="CB3" s="65" t="s">
        <v>31</v>
      </c>
      <c r="CC3" s="65" t="s">
        <v>31</v>
      </c>
      <c r="CD3" s="66" t="s">
        <v>37</v>
      </c>
      <c r="CE3" s="65" t="s">
        <v>32</v>
      </c>
      <c r="CF3" s="65" t="s">
        <v>32</v>
      </c>
      <c r="CG3" s="65" t="s">
        <v>32</v>
      </c>
      <c r="CH3" s="66" t="s">
        <v>9</v>
      </c>
      <c r="CI3" s="65" t="s">
        <v>33</v>
      </c>
      <c r="CJ3" s="65" t="s">
        <v>33</v>
      </c>
      <c r="CK3" s="65" t="s">
        <v>33</v>
      </c>
      <c r="CL3" s="66" t="s">
        <v>10</v>
      </c>
      <c r="CM3" s="65" t="s">
        <v>34</v>
      </c>
      <c r="CN3" s="65" t="s">
        <v>34</v>
      </c>
      <c r="CO3" s="65" t="s">
        <v>34</v>
      </c>
      <c r="CP3" s="66" t="s">
        <v>11</v>
      </c>
      <c r="CQ3" s="65" t="s">
        <v>35</v>
      </c>
      <c r="CR3" s="65" t="s">
        <v>35</v>
      </c>
      <c r="CS3" s="65" t="s">
        <v>35</v>
      </c>
      <c r="CT3" s="65" t="s">
        <v>35</v>
      </c>
      <c r="CU3" s="66" t="s">
        <v>57</v>
      </c>
    </row>
    <row r="4" spans="1:99" x14ac:dyDescent="0.25">
      <c r="A4">
        <v>1</v>
      </c>
      <c r="C4" s="6">
        <f t="shared" ref="C4:N4" si="0">COUNTIF(C50:C154,1)</f>
        <v>1</v>
      </c>
      <c r="D4" s="6">
        <f t="shared" si="0"/>
        <v>4</v>
      </c>
      <c r="E4" s="7">
        <f t="shared" si="0"/>
        <v>0</v>
      </c>
      <c r="F4" s="23">
        <f t="shared" si="0"/>
        <v>8</v>
      </c>
      <c r="G4" s="24">
        <f t="shared" si="0"/>
        <v>8</v>
      </c>
      <c r="H4" s="7">
        <f t="shared" si="0"/>
        <v>8</v>
      </c>
      <c r="I4" s="23">
        <f t="shared" si="0"/>
        <v>0</v>
      </c>
      <c r="J4" s="24">
        <f t="shared" si="0"/>
        <v>0</v>
      </c>
      <c r="K4" s="10">
        <f t="shared" si="0"/>
        <v>2</v>
      </c>
      <c r="L4" s="10">
        <f t="shared" si="0"/>
        <v>5</v>
      </c>
      <c r="M4" s="10">
        <f t="shared" si="0"/>
        <v>11</v>
      </c>
      <c r="N4" s="6">
        <f t="shared" si="0"/>
        <v>1</v>
      </c>
      <c r="Q4" s="83">
        <f>SUM(E4+H4)/2+G4+J4</f>
        <v>12</v>
      </c>
      <c r="R4" s="84">
        <f>SUM(G4)</f>
        <v>8</v>
      </c>
      <c r="S4" s="84">
        <f>SUM(J4)</f>
        <v>0</v>
      </c>
      <c r="T4" s="84">
        <f>SUM(E4+H4)/2</f>
        <v>4</v>
      </c>
      <c r="U4" s="16" t="str">
        <f t="shared" ref="U4:U38" si="1">IF(BS4&gt;1,"X"," ")</f>
        <v>X</v>
      </c>
      <c r="V4" s="16" t="str">
        <f t="shared" ref="V4:V38" si="2">IF(BG4&gt;1,"X"," ")</f>
        <v>X</v>
      </c>
      <c r="W4" s="16" t="str">
        <f t="shared" ref="W4:W38" si="3">IF(BJ4&gt;1,"X"," ")</f>
        <v xml:space="preserve"> </v>
      </c>
      <c r="X4" s="16" t="str">
        <f t="shared" ref="X4:X38" si="4">IF(BQ4&gt;1,"X"," ")</f>
        <v xml:space="preserve"> </v>
      </c>
      <c r="Z4" s="84">
        <f>SUM(F4+I4)/2</f>
        <v>4</v>
      </c>
      <c r="AA4" s="62" t="str">
        <f t="shared" ref="AA4:AA38" si="5">IF(BV4&gt;1,"X"," ")</f>
        <v>X</v>
      </c>
      <c r="AB4" s="58"/>
      <c r="AC4" s="76" t="str">
        <f>A4&amp;" "&amp;B4</f>
        <v xml:space="preserve">1 </v>
      </c>
      <c r="AE4" s="16">
        <f>SUM(K4+L4+M4)</f>
        <v>18</v>
      </c>
      <c r="AF4" s="17">
        <f>SUM(K4)</f>
        <v>2</v>
      </c>
      <c r="AG4" s="17">
        <f>SUM(L4)</f>
        <v>5</v>
      </c>
      <c r="AH4" s="17">
        <f>SUM(M4)</f>
        <v>11</v>
      </c>
      <c r="AI4" s="25" t="str">
        <f t="shared" ref="AI4:AI38" si="6">IF(BY4&gt;1,"X"," ")</f>
        <v>X</v>
      </c>
      <c r="AJ4" s="25" t="str">
        <f t="shared" ref="AJ4:AL38" si="7">IF(BK4&gt;1,"X"," ")</f>
        <v xml:space="preserve"> </v>
      </c>
      <c r="AK4" s="25" t="str">
        <f t="shared" si="7"/>
        <v xml:space="preserve"> </v>
      </c>
      <c r="AL4" s="16" t="str">
        <f t="shared" si="7"/>
        <v>X</v>
      </c>
      <c r="AN4" s="25" t="str">
        <f t="shared" ref="AN4:AN38" si="8">IF(CD4=3,"X"," ")</f>
        <v xml:space="preserve"> </v>
      </c>
      <c r="AO4" s="25" t="str">
        <f t="shared" ref="AO4:AO38" si="9">IF(CH4=3,"X"," ")</f>
        <v xml:space="preserve"> </v>
      </c>
      <c r="AP4" s="25" t="str">
        <f t="shared" ref="AP4:AP38" si="10">IF(CL4=3,"X"," ")</f>
        <v xml:space="preserve"> </v>
      </c>
      <c r="AQ4" s="25" t="str">
        <f t="shared" ref="AQ4:AQ38" si="11">IF(CP4=3,"X"," ")</f>
        <v xml:space="preserve"> </v>
      </c>
      <c r="AR4" s="25" t="str">
        <f>IF(CU4=0,"X"," ")</f>
        <v xml:space="preserve"> </v>
      </c>
      <c r="AS4" s="17">
        <f>SUM(C4)</f>
        <v>1</v>
      </c>
      <c r="AT4" s="17">
        <f>SUM(D4)</f>
        <v>4</v>
      </c>
      <c r="AV4" s="22">
        <f>STANDARDIZE(C4,C41,C42)</f>
        <v>-0.38138503569823701</v>
      </c>
      <c r="AW4" s="22">
        <f>STANDARDIZE(D4,D41,D42)</f>
        <v>0.77272067552270218</v>
      </c>
      <c r="AX4" s="3">
        <f>SUM(C4:D4)</f>
        <v>5</v>
      </c>
      <c r="AY4" s="3">
        <f>SUM(C4-D4)</f>
        <v>-3</v>
      </c>
      <c r="AZ4" s="22">
        <f>STANDARDIZE(AX4,AX41,AX42)</f>
        <v>0.39814030106730924</v>
      </c>
      <c r="BA4" s="22">
        <f>STANDARDIZE(AY4,AY41,AY42)</f>
        <v>-0.84358040931303291</v>
      </c>
      <c r="BC4" s="22">
        <f t="shared" ref="BC4:BN4" si="12">STANDARDIZE(C4,C41,C42)</f>
        <v>-0.38138503569823701</v>
      </c>
      <c r="BD4" s="22">
        <f t="shared" si="12"/>
        <v>0.77272067552270218</v>
      </c>
      <c r="BE4" s="22">
        <f t="shared" si="12"/>
        <v>-0.4509959436749138</v>
      </c>
      <c r="BF4" s="22">
        <f t="shared" si="12"/>
        <v>1.9793296348403704</v>
      </c>
      <c r="BG4" s="22">
        <f t="shared" si="12"/>
        <v>1.7995154066335737</v>
      </c>
      <c r="BH4" s="22">
        <f t="shared" si="12"/>
        <v>2.2182838259632427</v>
      </c>
      <c r="BI4" s="22">
        <f t="shared" si="12"/>
        <v>-0.6188957819160148</v>
      </c>
      <c r="BJ4" s="22">
        <f t="shared" si="12"/>
        <v>-0.75045998164397798</v>
      </c>
      <c r="BK4" s="22">
        <f t="shared" si="12"/>
        <v>5.3587513672698234E-2</v>
      </c>
      <c r="BL4" s="22">
        <f t="shared" si="12"/>
        <v>0.87417338353304486</v>
      </c>
      <c r="BM4" s="22">
        <f t="shared" si="12"/>
        <v>2.0855928899330514</v>
      </c>
      <c r="BN4" s="22">
        <f t="shared" si="12"/>
        <v>-0.33877416148438994</v>
      </c>
      <c r="BP4" s="26">
        <f>SUM(E4+H4)</f>
        <v>8</v>
      </c>
      <c r="BQ4" s="22">
        <f>STANDARDIZE(BP4,BP41,BP42)</f>
        <v>0.79161639182436505</v>
      </c>
      <c r="BR4" s="22">
        <f>SUM(E4+H4)/2+G4+J4</f>
        <v>12</v>
      </c>
      <c r="BS4" s="22">
        <f>STANDARDIZE(BR4,BR41,BR42)</f>
        <v>1.0070417638883122</v>
      </c>
      <c r="BT4" s="22"/>
      <c r="BU4" s="26">
        <f>SUM(F4+I4)</f>
        <v>8</v>
      </c>
      <c r="BV4" s="22">
        <f>STANDARDIZE(BU4,BU41,BU42)</f>
        <v>1.0470605408233251</v>
      </c>
      <c r="BW4" s="22"/>
      <c r="BX4" s="26">
        <f>SUM(K4+L4+M4)</f>
        <v>18</v>
      </c>
      <c r="BY4" s="22">
        <f>STANDARDIZE(BX4,BX41,BX42)</f>
        <v>1.1552685556458846</v>
      </c>
      <c r="BZ4"/>
      <c r="CA4" s="4" t="str">
        <f>IF(BA4&gt;1,"1","0")</f>
        <v>0</v>
      </c>
      <c r="CB4" s="4" t="str">
        <f>IF(AV4&gt;0,"1","0")</f>
        <v>0</v>
      </c>
      <c r="CC4" s="4" t="str">
        <f>IF(AW4&lt;0,"1","0")</f>
        <v>0</v>
      </c>
      <c r="CD4" s="4">
        <f>SUM(CA4+CB4+CC4)</f>
        <v>0</v>
      </c>
      <c r="CE4" s="4" t="str">
        <f>IF(BA4&lt;-1,"1","0")</f>
        <v>0</v>
      </c>
      <c r="CF4" s="4" t="str">
        <f>IF(AW4&gt;0,"1","0")</f>
        <v>1</v>
      </c>
      <c r="CG4" s="4" t="str">
        <f>IF(AV4&lt;0,"1","0")</f>
        <v>1</v>
      </c>
      <c r="CH4" s="4">
        <f>SUM(CE4+CF4+CG4)</f>
        <v>2</v>
      </c>
      <c r="CI4" s="4" t="str">
        <f>IF(AZ4&lt;-1,"1","0")</f>
        <v>0</v>
      </c>
      <c r="CJ4" s="4" t="str">
        <f>IF(AV4&lt;0,"1","0")</f>
        <v>1</v>
      </c>
      <c r="CK4" s="4" t="str">
        <f>IF(AW4&lt;0,"1","0")</f>
        <v>0</v>
      </c>
      <c r="CL4" s="4">
        <f>SUM(CI4+CJ4+CK4)</f>
        <v>1</v>
      </c>
      <c r="CM4" s="4" t="str">
        <f>IF(AZ4&gt;1,"1","0")</f>
        <v>0</v>
      </c>
      <c r="CN4" s="4" t="str">
        <f>IF(AW4&gt;0,"1","0")</f>
        <v>1</v>
      </c>
      <c r="CO4" s="4" t="str">
        <f>IF(AV4&gt;0,"1","0")</f>
        <v>0</v>
      </c>
      <c r="CP4" s="4">
        <f>SUM(CM4+CN4+CO4)</f>
        <v>1</v>
      </c>
      <c r="CQ4" s="4" t="str">
        <f>IF(AV4&lt;-0.5,"1","0")</f>
        <v>0</v>
      </c>
      <c r="CR4" s="4" t="str">
        <f>IF(AV4&gt;0.5,"1","0")</f>
        <v>0</v>
      </c>
      <c r="CS4" s="4" t="str">
        <f>IF(AW4&lt;-0.5,"1","0")</f>
        <v>0</v>
      </c>
      <c r="CT4" s="4" t="str">
        <f>IF(AW4&gt;0.5,"1","0")</f>
        <v>1</v>
      </c>
      <c r="CU4" s="4">
        <f>SUM(CQ4+CR4+CS4+CT4)</f>
        <v>1</v>
      </c>
    </row>
    <row r="5" spans="1:99" x14ac:dyDescent="0.25">
      <c r="A5">
        <v>2</v>
      </c>
      <c r="C5" s="6">
        <f t="shared" ref="C5:N5" si="13">COUNTIF(C50:C154,2)</f>
        <v>3</v>
      </c>
      <c r="D5" s="6">
        <f t="shared" si="13"/>
        <v>2</v>
      </c>
      <c r="E5" s="7">
        <f t="shared" si="13"/>
        <v>1</v>
      </c>
      <c r="F5" s="23">
        <f t="shared" si="13"/>
        <v>2</v>
      </c>
      <c r="G5" s="24">
        <f t="shared" si="13"/>
        <v>1</v>
      </c>
      <c r="H5" s="7">
        <f t="shared" si="13"/>
        <v>1</v>
      </c>
      <c r="I5" s="23">
        <f t="shared" si="13"/>
        <v>3</v>
      </c>
      <c r="J5" s="24">
        <f t="shared" si="13"/>
        <v>4</v>
      </c>
      <c r="K5" s="10">
        <f t="shared" si="13"/>
        <v>0</v>
      </c>
      <c r="L5" s="10">
        <f t="shared" si="13"/>
        <v>0</v>
      </c>
      <c r="M5" s="10">
        <f t="shared" si="13"/>
        <v>0</v>
      </c>
      <c r="N5" s="6">
        <f t="shared" si="13"/>
        <v>1</v>
      </c>
      <c r="Q5" s="83">
        <f t="shared" ref="Q5:Q38" si="14">SUM(E5+H5)/2+G5+J5</f>
        <v>6</v>
      </c>
      <c r="R5" s="84">
        <f t="shared" ref="R5:R38" si="15">SUM(G5)</f>
        <v>1</v>
      </c>
      <c r="S5" s="84">
        <f t="shared" ref="S5:S38" si="16">SUM(J5)</f>
        <v>4</v>
      </c>
      <c r="T5" s="84">
        <f t="shared" ref="T5:T38" si="17">SUM(E5+H5)/2</f>
        <v>1</v>
      </c>
      <c r="U5" s="16" t="str">
        <f t="shared" si="1"/>
        <v xml:space="preserve"> </v>
      </c>
      <c r="V5" s="16" t="str">
        <f t="shared" si="2"/>
        <v xml:space="preserve"> </v>
      </c>
      <c r="W5" s="16" t="str">
        <f t="shared" si="3"/>
        <v xml:space="preserve"> </v>
      </c>
      <c r="X5" s="16" t="str">
        <f t="shared" si="4"/>
        <v xml:space="preserve"> </v>
      </c>
      <c r="Z5" s="84">
        <f t="shared" ref="Z5:Z38" si="18">SUM(F5+I5)/2</f>
        <v>2.5</v>
      </c>
      <c r="AA5" s="62" t="str">
        <f t="shared" si="5"/>
        <v xml:space="preserve"> </v>
      </c>
      <c r="AB5" s="58"/>
      <c r="AC5" s="76" t="str">
        <f t="shared" ref="AC5:AC38" si="19">A5&amp;" "&amp;B5</f>
        <v xml:space="preserve">2 </v>
      </c>
      <c r="AE5" s="16">
        <f t="shared" ref="AE5:AE38" si="20">SUM(K5+L5+M5)</f>
        <v>0</v>
      </c>
      <c r="AF5" s="17">
        <f t="shared" ref="AF5:AG38" si="21">SUM(K5)</f>
        <v>0</v>
      </c>
      <c r="AG5" s="17">
        <f t="shared" si="21"/>
        <v>0</v>
      </c>
      <c r="AH5" s="17">
        <f t="shared" ref="AH5:AH38" si="22">SUM(M5)</f>
        <v>0</v>
      </c>
      <c r="AI5" s="25" t="str">
        <f t="shared" si="6"/>
        <v xml:space="preserve"> </v>
      </c>
      <c r="AJ5" s="25" t="str">
        <f t="shared" si="7"/>
        <v xml:space="preserve"> </v>
      </c>
      <c r="AK5" s="25" t="str">
        <f t="shared" si="7"/>
        <v xml:space="preserve"> </v>
      </c>
      <c r="AL5" s="16" t="str">
        <f t="shared" si="7"/>
        <v xml:space="preserve"> </v>
      </c>
      <c r="AN5" s="25" t="str">
        <f t="shared" si="8"/>
        <v xml:space="preserve"> </v>
      </c>
      <c r="AO5" s="25" t="str">
        <f t="shared" si="9"/>
        <v xml:space="preserve"> </v>
      </c>
      <c r="AP5" s="25" t="str">
        <f t="shared" si="10"/>
        <v xml:space="preserve"> </v>
      </c>
      <c r="AQ5" s="25" t="str">
        <f t="shared" si="11"/>
        <v xml:space="preserve"> </v>
      </c>
      <c r="AR5" s="25" t="str">
        <f t="shared" ref="AR5:AR38" si="23">IF(CU5=0,"X"," ")</f>
        <v xml:space="preserve"> </v>
      </c>
      <c r="AS5" s="17">
        <f t="shared" ref="AS5:AS38" si="24">SUM(C5)</f>
        <v>3</v>
      </c>
      <c r="AT5" s="17">
        <f t="shared" ref="AT5:AT38" si="25">SUM(D5)</f>
        <v>2</v>
      </c>
      <c r="AV5" s="22">
        <f>STANDARDIZE(C5,C41,C42)</f>
        <v>0.57207755354735546</v>
      </c>
      <c r="AW5" s="22">
        <f>STANDARDIZE(D5,D41,D42)</f>
        <v>7.0247334138427459E-2</v>
      </c>
      <c r="AX5" s="3">
        <f t="shared" ref="AX5:AX38" si="26">SUM(C5:D5)</f>
        <v>5</v>
      </c>
      <c r="AY5" s="3">
        <f t="shared" ref="AY5:AY38" si="27">SUM(C5-D5)</f>
        <v>1</v>
      </c>
      <c r="AZ5" s="22">
        <f>STANDARDIZE(AX5,AX41,AX42)</f>
        <v>0.39814030106730924</v>
      </c>
      <c r="BA5" s="22">
        <f>STANDARDIZE(AY5,AY41,AY42)</f>
        <v>0.28119346977101095</v>
      </c>
      <c r="BC5" s="22">
        <f t="shared" ref="BC5:BN5" si="28">STANDARDIZE(C5,C41,C42)</f>
        <v>0.57207755354735546</v>
      </c>
      <c r="BD5" s="22">
        <f t="shared" si="28"/>
        <v>7.0247334138427459E-2</v>
      </c>
      <c r="BE5" s="22">
        <f t="shared" si="28"/>
        <v>-0.20044264163329503</v>
      </c>
      <c r="BF5" s="22">
        <f t="shared" si="28"/>
        <v>6.3849343059366764E-2</v>
      </c>
      <c r="BG5" s="22">
        <f t="shared" si="28"/>
        <v>-0.23219553633981596</v>
      </c>
      <c r="BH5" s="22">
        <f t="shared" si="28"/>
        <v>-0.2862301710920313</v>
      </c>
      <c r="BI5" s="22">
        <f t="shared" si="28"/>
        <v>0.41259718794400979</v>
      </c>
      <c r="BJ5" s="22">
        <f t="shared" si="28"/>
        <v>0.9172288664537509</v>
      </c>
      <c r="BK5" s="22">
        <f t="shared" si="28"/>
        <v>-0.48228762305428424</v>
      </c>
      <c r="BL5" s="22">
        <f t="shared" si="28"/>
        <v>-0.49172252823733775</v>
      </c>
      <c r="BM5" s="22">
        <f t="shared" si="28"/>
        <v>-0.4080507828129884</v>
      </c>
      <c r="BN5" s="22">
        <f t="shared" si="28"/>
        <v>-0.33877416148438994</v>
      </c>
      <c r="BP5" s="26">
        <f t="shared" ref="BP5:BP38" si="29">SUM(E5+H5)</f>
        <v>2</v>
      </c>
      <c r="BQ5" s="22">
        <f>STANDARDIZE(BP5,BP41,BP42)</f>
        <v>-0.28786050611795094</v>
      </c>
      <c r="BR5" s="22">
        <f t="shared" ref="BR5:BR38" si="30">SUM(E5+H5)/2+G5+J5</f>
        <v>6</v>
      </c>
      <c r="BS5" s="22">
        <f>STANDARDIZE(BR5,BR41,BR42)</f>
        <v>9.1549251262573794E-2</v>
      </c>
      <c r="BT5" s="22"/>
      <c r="BU5" s="26">
        <f t="shared" ref="BU5:BU38" si="31">SUM(F5+I5)</f>
        <v>5</v>
      </c>
      <c r="BV5" s="22">
        <f>STANDARDIZE(BU5,BU41,BU42)</f>
        <v>0.33315562662560344</v>
      </c>
      <c r="BW5" s="22"/>
      <c r="BX5" s="26">
        <f t="shared" ref="BX5:BX38" si="32">SUM(K5+L5+M5)</f>
        <v>0</v>
      </c>
      <c r="BY5" s="22">
        <f>STANDARDIZE(BX5,BX41,BX42)</f>
        <v>-0.49511509527680769</v>
      </c>
      <c r="BZ5"/>
      <c r="CA5" s="4" t="str">
        <f t="shared" ref="CA5:CA38" si="33">IF(BA5&gt;1,"1","0")</f>
        <v>0</v>
      </c>
      <c r="CB5" s="4" t="str">
        <f t="shared" ref="CB5:CB38" si="34">IF(AV5&gt;0,"1","0")</f>
        <v>1</v>
      </c>
      <c r="CC5" s="4" t="str">
        <f t="shared" ref="CC5:CC38" si="35">IF(AW5&lt;0,"1","0")</f>
        <v>0</v>
      </c>
      <c r="CD5" s="4">
        <f t="shared" ref="CD5:CD38" si="36">SUM(CA5+CB5+CC5)</f>
        <v>1</v>
      </c>
      <c r="CE5" s="4" t="str">
        <f t="shared" ref="CE5:CE38" si="37">IF(BA5&lt;-1,"1","0")</f>
        <v>0</v>
      </c>
      <c r="CF5" s="4" t="str">
        <f t="shared" ref="CF5:CF38" si="38">IF(AW5&gt;0,"1","0")</f>
        <v>1</v>
      </c>
      <c r="CG5" s="4" t="str">
        <f t="shared" ref="CG5:CG38" si="39">IF(AV5&lt;0,"1","0")</f>
        <v>0</v>
      </c>
      <c r="CH5" s="4">
        <f t="shared" ref="CH5:CH38" si="40">SUM(CE5+CF5+CG5)</f>
        <v>1</v>
      </c>
      <c r="CI5" s="4" t="str">
        <f t="shared" ref="CI5:CI38" si="41">IF(AZ5&lt;-1,"1","0")</f>
        <v>0</v>
      </c>
      <c r="CJ5" s="4" t="str">
        <f t="shared" ref="CJ5:CK38" si="42">IF(AV5&lt;0,"1","0")</f>
        <v>0</v>
      </c>
      <c r="CK5" s="4" t="str">
        <f t="shared" si="42"/>
        <v>0</v>
      </c>
      <c r="CL5" s="4">
        <f t="shared" ref="CL5:CL38" si="43">SUM(CI5+CJ5+CK5)</f>
        <v>0</v>
      </c>
      <c r="CM5" s="4" t="str">
        <f t="shared" ref="CM5:CM38" si="44">IF(AZ5&gt;1,"1","0")</f>
        <v>0</v>
      </c>
      <c r="CN5" s="4" t="str">
        <f t="shared" ref="CN5:CN38" si="45">IF(AW5&gt;0,"1","0")</f>
        <v>1</v>
      </c>
      <c r="CO5" s="4" t="str">
        <f t="shared" ref="CO5:CO38" si="46">IF(AV5&gt;0,"1","0")</f>
        <v>1</v>
      </c>
      <c r="CP5" s="4">
        <f t="shared" ref="CP5:CP38" si="47">SUM(CM5+CN5+CO5)</f>
        <v>2</v>
      </c>
      <c r="CQ5" s="4" t="str">
        <f t="shared" ref="CQ5:CQ38" si="48">IF(AV5&lt;-0.5,"1","0")</f>
        <v>0</v>
      </c>
      <c r="CR5" s="4" t="str">
        <f t="shared" ref="CR5:CR38" si="49">IF(AV5&gt;0.5,"1","0")</f>
        <v>1</v>
      </c>
      <c r="CS5" s="4" t="str">
        <f t="shared" ref="CS5:CS38" si="50">IF(AW5&lt;-0.5,"1","0")</f>
        <v>0</v>
      </c>
      <c r="CT5" s="4" t="str">
        <f t="shared" ref="CT5:CT38" si="51">IF(AW5&gt;0.5,"1","0")</f>
        <v>0</v>
      </c>
      <c r="CU5" s="4">
        <f t="shared" ref="CU5:CU38" si="52">SUM(CQ5+CR5+CS5+CT5)</f>
        <v>1</v>
      </c>
    </row>
    <row r="6" spans="1:99" x14ac:dyDescent="0.25">
      <c r="A6">
        <v>3</v>
      </c>
      <c r="C6" s="6">
        <f t="shared" ref="C6:N6" si="53">COUNTIF(C50:C154,3)</f>
        <v>4</v>
      </c>
      <c r="D6" s="6">
        <f t="shared" si="53"/>
        <v>1</v>
      </c>
      <c r="E6" s="7">
        <f t="shared" si="53"/>
        <v>0</v>
      </c>
      <c r="F6" s="23">
        <f t="shared" si="53"/>
        <v>2</v>
      </c>
      <c r="G6" s="24">
        <f t="shared" si="53"/>
        <v>2</v>
      </c>
      <c r="H6" s="7">
        <f t="shared" si="53"/>
        <v>9</v>
      </c>
      <c r="I6" s="23">
        <f t="shared" si="53"/>
        <v>2</v>
      </c>
      <c r="J6" s="24">
        <f t="shared" si="53"/>
        <v>3</v>
      </c>
      <c r="K6" s="10">
        <f t="shared" si="53"/>
        <v>0</v>
      </c>
      <c r="L6" s="10">
        <f t="shared" si="53"/>
        <v>2</v>
      </c>
      <c r="M6" s="10">
        <f t="shared" si="53"/>
        <v>0</v>
      </c>
      <c r="N6" s="6">
        <f t="shared" si="53"/>
        <v>2</v>
      </c>
      <c r="Q6" s="83">
        <f t="shared" si="14"/>
        <v>9.5</v>
      </c>
      <c r="R6" s="84">
        <f t="shared" si="15"/>
        <v>2</v>
      </c>
      <c r="S6" s="84">
        <f t="shared" si="16"/>
        <v>3</v>
      </c>
      <c r="T6" s="84">
        <f t="shared" si="17"/>
        <v>4.5</v>
      </c>
      <c r="U6" s="16" t="str">
        <f t="shared" si="1"/>
        <v xml:space="preserve"> </v>
      </c>
      <c r="V6" s="16" t="str">
        <f t="shared" si="2"/>
        <v xml:space="preserve"> </v>
      </c>
      <c r="W6" s="16" t="str">
        <f t="shared" si="3"/>
        <v xml:space="preserve"> </v>
      </c>
      <c r="X6" s="16" t="str">
        <f t="shared" si="4"/>
        <v xml:space="preserve"> </v>
      </c>
      <c r="Z6" s="84">
        <f t="shared" si="18"/>
        <v>2</v>
      </c>
      <c r="AA6" s="62" t="str">
        <f t="shared" si="5"/>
        <v xml:space="preserve"> </v>
      </c>
      <c r="AB6" s="58"/>
      <c r="AC6" s="76" t="str">
        <f t="shared" si="19"/>
        <v xml:space="preserve">3 </v>
      </c>
      <c r="AE6" s="16">
        <f t="shared" si="20"/>
        <v>2</v>
      </c>
      <c r="AF6" s="17">
        <f t="shared" si="21"/>
        <v>0</v>
      </c>
      <c r="AG6" s="17">
        <f t="shared" si="21"/>
        <v>2</v>
      </c>
      <c r="AH6" s="17">
        <f t="shared" si="22"/>
        <v>0</v>
      </c>
      <c r="AI6" s="25" t="str">
        <f t="shared" si="6"/>
        <v xml:space="preserve"> </v>
      </c>
      <c r="AJ6" s="25" t="str">
        <f t="shared" si="7"/>
        <v xml:space="preserve"> </v>
      </c>
      <c r="AK6" s="25" t="str">
        <f t="shared" si="7"/>
        <v xml:space="preserve"> </v>
      </c>
      <c r="AL6" s="16" t="str">
        <f t="shared" si="7"/>
        <v xml:space="preserve"> </v>
      </c>
      <c r="AN6" s="25" t="str">
        <f t="shared" si="8"/>
        <v xml:space="preserve"> </v>
      </c>
      <c r="AO6" s="25" t="str">
        <f t="shared" si="9"/>
        <v xml:space="preserve"> </v>
      </c>
      <c r="AP6" s="25" t="str">
        <f t="shared" si="10"/>
        <v xml:space="preserve"> </v>
      </c>
      <c r="AQ6" s="25" t="str">
        <f t="shared" si="11"/>
        <v xml:space="preserve"> </v>
      </c>
      <c r="AR6" s="25" t="str">
        <f t="shared" si="23"/>
        <v xml:space="preserve"> </v>
      </c>
      <c r="AS6" s="17">
        <f t="shared" si="24"/>
        <v>4</v>
      </c>
      <c r="AT6" s="17">
        <f t="shared" si="25"/>
        <v>1</v>
      </c>
      <c r="AV6" s="22">
        <f>STANDARDIZE(C6,C41,C42)</f>
        <v>1.0488088481701519</v>
      </c>
      <c r="AW6" s="22">
        <f>STANDARDIZE(D6,D41,D42)</f>
        <v>-0.28098933655370989</v>
      </c>
      <c r="AX6" s="3">
        <f t="shared" si="26"/>
        <v>5</v>
      </c>
      <c r="AY6" s="3">
        <f t="shared" si="27"/>
        <v>3</v>
      </c>
      <c r="AZ6" s="22">
        <f>STANDARDIZE(AX6,AX41,AX42)</f>
        <v>0.39814030106730924</v>
      </c>
      <c r="BA6" s="22">
        <f>STANDARDIZE(AY6,AY41,AY42)</f>
        <v>0.84358040931303291</v>
      </c>
      <c r="BC6" s="22">
        <f t="shared" ref="BC6:BN6" si="54">STANDARDIZE(C6,C41,C42)</f>
        <v>1.0488088481701519</v>
      </c>
      <c r="BD6" s="22">
        <f t="shared" si="54"/>
        <v>-0.28098933655370989</v>
      </c>
      <c r="BE6" s="22">
        <f t="shared" si="54"/>
        <v>-0.4509959436749138</v>
      </c>
      <c r="BF6" s="22">
        <f t="shared" si="54"/>
        <v>6.3849343059366764E-2</v>
      </c>
      <c r="BG6" s="22">
        <f t="shared" si="54"/>
        <v>5.8048884084953969E-2</v>
      </c>
      <c r="BH6" s="22">
        <f t="shared" si="54"/>
        <v>2.5760715398282814</v>
      </c>
      <c r="BI6" s="22">
        <f t="shared" si="54"/>
        <v>6.8766197990668285E-2</v>
      </c>
      <c r="BJ6" s="22">
        <f t="shared" si="54"/>
        <v>0.50030665442931865</v>
      </c>
      <c r="BK6" s="22">
        <f t="shared" si="54"/>
        <v>-0.48228762305428424</v>
      </c>
      <c r="BL6" s="22">
        <f t="shared" si="54"/>
        <v>5.463583647081529E-2</v>
      </c>
      <c r="BM6" s="22">
        <f t="shared" si="54"/>
        <v>-0.4080507828129884</v>
      </c>
      <c r="BN6" s="22">
        <f t="shared" si="54"/>
        <v>8.4693540371097456E-2</v>
      </c>
      <c r="BP6" s="26">
        <f t="shared" si="29"/>
        <v>9</v>
      </c>
      <c r="BQ6" s="22">
        <f>STANDARDIZE(BP6,BP41,BP42)</f>
        <v>0.97152920814808441</v>
      </c>
      <c r="BR6" s="22">
        <f t="shared" si="30"/>
        <v>9.5</v>
      </c>
      <c r="BS6" s="22">
        <f>STANDARDIZE(BR6,BR41,BR42)</f>
        <v>0.62558655029425458</v>
      </c>
      <c r="BT6" s="22"/>
      <c r="BU6" s="26">
        <f t="shared" si="31"/>
        <v>4</v>
      </c>
      <c r="BV6" s="22">
        <f>STANDARDIZE(BU6,BU41,BU42)</f>
        <v>9.5187321893029531E-2</v>
      </c>
      <c r="BW6" s="22"/>
      <c r="BX6" s="26">
        <f t="shared" si="32"/>
        <v>2</v>
      </c>
      <c r="BY6" s="22">
        <f>STANDARDIZE(BX6,BX41,BX42)</f>
        <v>-0.31173913406317522</v>
      </c>
      <c r="BZ6"/>
      <c r="CA6" s="4" t="str">
        <f t="shared" si="33"/>
        <v>0</v>
      </c>
      <c r="CB6" s="4" t="str">
        <f t="shared" si="34"/>
        <v>1</v>
      </c>
      <c r="CC6" s="4" t="str">
        <f t="shared" si="35"/>
        <v>1</v>
      </c>
      <c r="CD6" s="4">
        <f t="shared" si="36"/>
        <v>2</v>
      </c>
      <c r="CE6" s="4" t="str">
        <f t="shared" si="37"/>
        <v>0</v>
      </c>
      <c r="CF6" s="4" t="str">
        <f t="shared" si="38"/>
        <v>0</v>
      </c>
      <c r="CG6" s="4" t="str">
        <f t="shared" si="39"/>
        <v>0</v>
      </c>
      <c r="CH6" s="4">
        <f t="shared" si="40"/>
        <v>0</v>
      </c>
      <c r="CI6" s="4" t="str">
        <f t="shared" si="41"/>
        <v>0</v>
      </c>
      <c r="CJ6" s="4" t="str">
        <f t="shared" si="42"/>
        <v>0</v>
      </c>
      <c r="CK6" s="4" t="str">
        <f t="shared" si="42"/>
        <v>1</v>
      </c>
      <c r="CL6" s="4">
        <f t="shared" si="43"/>
        <v>1</v>
      </c>
      <c r="CM6" s="4" t="str">
        <f t="shared" si="44"/>
        <v>0</v>
      </c>
      <c r="CN6" s="4" t="str">
        <f t="shared" si="45"/>
        <v>0</v>
      </c>
      <c r="CO6" s="4" t="str">
        <f t="shared" si="46"/>
        <v>1</v>
      </c>
      <c r="CP6" s="4">
        <f t="shared" si="47"/>
        <v>1</v>
      </c>
      <c r="CQ6" s="4" t="str">
        <f t="shared" si="48"/>
        <v>0</v>
      </c>
      <c r="CR6" s="4" t="str">
        <f t="shared" si="49"/>
        <v>1</v>
      </c>
      <c r="CS6" s="4" t="str">
        <f t="shared" si="50"/>
        <v>0</v>
      </c>
      <c r="CT6" s="4" t="str">
        <f t="shared" si="51"/>
        <v>0</v>
      </c>
      <c r="CU6" s="4">
        <f t="shared" si="52"/>
        <v>1</v>
      </c>
    </row>
    <row r="7" spans="1:99" x14ac:dyDescent="0.25">
      <c r="A7">
        <v>4</v>
      </c>
      <c r="C7" s="6">
        <f t="shared" ref="C7:N7" si="55">COUNTIF(C50:C154,4)</f>
        <v>2</v>
      </c>
      <c r="D7" s="6">
        <f t="shared" si="55"/>
        <v>4</v>
      </c>
      <c r="E7" s="7">
        <f t="shared" si="55"/>
        <v>4</v>
      </c>
      <c r="F7" s="23">
        <f t="shared" si="55"/>
        <v>1</v>
      </c>
      <c r="G7" s="24">
        <f t="shared" si="55"/>
        <v>2</v>
      </c>
      <c r="H7" s="7">
        <f t="shared" si="55"/>
        <v>1</v>
      </c>
      <c r="I7" s="23">
        <f t="shared" si="55"/>
        <v>0</v>
      </c>
      <c r="J7" s="24">
        <f t="shared" si="55"/>
        <v>5</v>
      </c>
      <c r="K7" s="10">
        <f t="shared" si="55"/>
        <v>10</v>
      </c>
      <c r="L7" s="10">
        <f t="shared" si="55"/>
        <v>10</v>
      </c>
      <c r="M7" s="10">
        <f t="shared" si="55"/>
        <v>1</v>
      </c>
      <c r="N7" s="6">
        <f t="shared" si="55"/>
        <v>2</v>
      </c>
      <c r="Q7" s="83">
        <f t="shared" si="14"/>
        <v>9.5</v>
      </c>
      <c r="R7" s="84">
        <f t="shared" si="15"/>
        <v>2</v>
      </c>
      <c r="S7" s="84">
        <f t="shared" si="16"/>
        <v>5</v>
      </c>
      <c r="T7" s="84">
        <f t="shared" si="17"/>
        <v>2.5</v>
      </c>
      <c r="U7" s="16" t="str">
        <f t="shared" si="1"/>
        <v xml:space="preserve"> </v>
      </c>
      <c r="V7" s="16" t="str">
        <f t="shared" si="2"/>
        <v xml:space="preserve"> </v>
      </c>
      <c r="W7" s="16" t="str">
        <f t="shared" si="3"/>
        <v>X</v>
      </c>
      <c r="X7" s="16" t="str">
        <f t="shared" si="4"/>
        <v xml:space="preserve"> </v>
      </c>
      <c r="Z7" s="84">
        <f t="shared" si="18"/>
        <v>0.5</v>
      </c>
      <c r="AA7" s="62" t="str">
        <f t="shared" si="5"/>
        <v xml:space="preserve"> </v>
      </c>
      <c r="AB7" s="58"/>
      <c r="AC7" s="76" t="str">
        <f t="shared" si="19"/>
        <v xml:space="preserve">4 </v>
      </c>
      <c r="AE7" s="16">
        <f t="shared" si="20"/>
        <v>21</v>
      </c>
      <c r="AF7" s="17">
        <f t="shared" si="21"/>
        <v>10</v>
      </c>
      <c r="AG7" s="17">
        <f t="shared" si="21"/>
        <v>10</v>
      </c>
      <c r="AH7" s="17">
        <f t="shared" si="22"/>
        <v>1</v>
      </c>
      <c r="AI7" s="25" t="str">
        <f t="shared" si="6"/>
        <v>X</v>
      </c>
      <c r="AJ7" s="25" t="str">
        <f t="shared" si="7"/>
        <v>X</v>
      </c>
      <c r="AK7" s="25" t="str">
        <f t="shared" si="7"/>
        <v>X</v>
      </c>
      <c r="AL7" s="16" t="str">
        <f t="shared" si="7"/>
        <v xml:space="preserve"> </v>
      </c>
      <c r="AN7" s="25" t="str">
        <f t="shared" si="8"/>
        <v xml:space="preserve"> </v>
      </c>
      <c r="AO7" s="25" t="str">
        <f t="shared" si="9"/>
        <v xml:space="preserve"> </v>
      </c>
      <c r="AP7" s="25" t="str">
        <f t="shared" si="10"/>
        <v xml:space="preserve"> </v>
      </c>
      <c r="AQ7" s="25" t="str">
        <f t="shared" si="11"/>
        <v xml:space="preserve"> </v>
      </c>
      <c r="AR7" s="25" t="str">
        <f t="shared" si="23"/>
        <v xml:space="preserve"> </v>
      </c>
      <c r="AS7" s="17">
        <f t="shared" si="24"/>
        <v>2</v>
      </c>
      <c r="AT7" s="17">
        <f t="shared" si="25"/>
        <v>4</v>
      </c>
      <c r="AV7" s="22">
        <f>STANDARDIZE(C7,C41,C42)</f>
        <v>9.5346258924559224E-2</v>
      </c>
      <c r="AW7" s="22">
        <f>STANDARDIZE(D7,D41,D42)</f>
        <v>0.77272067552270218</v>
      </c>
      <c r="AX7" s="3">
        <f t="shared" si="26"/>
        <v>6</v>
      </c>
      <c r="AY7" s="3">
        <f t="shared" si="27"/>
        <v>-2</v>
      </c>
      <c r="AZ7" s="22">
        <f>STANDARDIZE(AX7,AX41,AX42)</f>
        <v>0.68252623040110161</v>
      </c>
      <c r="BA7" s="22">
        <f>STANDARDIZE(AY7,AY41,AY42)</f>
        <v>-0.5623869395420219</v>
      </c>
      <c r="BC7" s="22">
        <f t="shared" ref="BC7:BN7" si="56">STANDARDIZE(C7,C41,C42)</f>
        <v>9.5346258924559224E-2</v>
      </c>
      <c r="BD7" s="22">
        <f t="shared" si="56"/>
        <v>0.77272067552270218</v>
      </c>
      <c r="BE7" s="22">
        <f t="shared" si="56"/>
        <v>0.55121726449156139</v>
      </c>
      <c r="BF7" s="22">
        <f t="shared" si="56"/>
        <v>-0.25539737223746717</v>
      </c>
      <c r="BG7" s="22">
        <f t="shared" si="56"/>
        <v>5.8048884084953969E-2</v>
      </c>
      <c r="BH7" s="22">
        <f t="shared" si="56"/>
        <v>-0.2862301710920313</v>
      </c>
      <c r="BI7" s="22">
        <f t="shared" si="56"/>
        <v>-0.6188957819160148</v>
      </c>
      <c r="BJ7" s="22">
        <f t="shared" si="56"/>
        <v>1.3341510784781832</v>
      </c>
      <c r="BK7" s="22">
        <f t="shared" si="56"/>
        <v>2.197088060580628</v>
      </c>
      <c r="BL7" s="22">
        <f t="shared" si="56"/>
        <v>2.2400692953034271</v>
      </c>
      <c r="BM7" s="22">
        <f t="shared" si="56"/>
        <v>-0.18135590347243929</v>
      </c>
      <c r="BN7" s="22">
        <f t="shared" si="56"/>
        <v>8.4693540371097456E-2</v>
      </c>
      <c r="BP7" s="26">
        <f t="shared" si="29"/>
        <v>5</v>
      </c>
      <c r="BQ7" s="22">
        <f>STANDARDIZE(BP7,BP41,BP42)</f>
        <v>0.25187794285320703</v>
      </c>
      <c r="BR7" s="22">
        <f t="shared" si="30"/>
        <v>9.5</v>
      </c>
      <c r="BS7" s="22">
        <f>STANDARDIZE(BR7,BR41,BR42)</f>
        <v>0.62558655029425458</v>
      </c>
      <c r="BT7" s="22"/>
      <c r="BU7" s="26">
        <f t="shared" si="31"/>
        <v>1</v>
      </c>
      <c r="BV7" s="22">
        <f>STANDARDIZE(BU7,BU41,BU42)</f>
        <v>-0.61871759230469214</v>
      </c>
      <c r="BW7" s="22"/>
      <c r="BX7" s="26">
        <f t="shared" si="32"/>
        <v>21</v>
      </c>
      <c r="BY7" s="22">
        <f>STANDARDIZE(BX7,BX41,BX42)</f>
        <v>1.4303324974663332</v>
      </c>
      <c r="BZ7"/>
      <c r="CA7" s="4" t="str">
        <f t="shared" si="33"/>
        <v>0</v>
      </c>
      <c r="CB7" s="4" t="str">
        <f t="shared" si="34"/>
        <v>1</v>
      </c>
      <c r="CC7" s="4" t="str">
        <f t="shared" si="35"/>
        <v>0</v>
      </c>
      <c r="CD7" s="4">
        <f t="shared" si="36"/>
        <v>1</v>
      </c>
      <c r="CE7" s="4" t="str">
        <f t="shared" si="37"/>
        <v>0</v>
      </c>
      <c r="CF7" s="4" t="str">
        <f t="shared" si="38"/>
        <v>1</v>
      </c>
      <c r="CG7" s="4" t="str">
        <f t="shared" si="39"/>
        <v>0</v>
      </c>
      <c r="CH7" s="4">
        <f t="shared" si="40"/>
        <v>1</v>
      </c>
      <c r="CI7" s="4" t="str">
        <f t="shared" si="41"/>
        <v>0</v>
      </c>
      <c r="CJ7" s="4" t="str">
        <f t="shared" si="42"/>
        <v>0</v>
      </c>
      <c r="CK7" s="4" t="str">
        <f t="shared" si="42"/>
        <v>0</v>
      </c>
      <c r="CL7" s="4">
        <f t="shared" si="43"/>
        <v>0</v>
      </c>
      <c r="CM7" s="4" t="str">
        <f t="shared" si="44"/>
        <v>0</v>
      </c>
      <c r="CN7" s="4" t="str">
        <f t="shared" si="45"/>
        <v>1</v>
      </c>
      <c r="CO7" s="4" t="str">
        <f t="shared" si="46"/>
        <v>1</v>
      </c>
      <c r="CP7" s="4">
        <f t="shared" si="47"/>
        <v>2</v>
      </c>
      <c r="CQ7" s="4" t="str">
        <f t="shared" si="48"/>
        <v>0</v>
      </c>
      <c r="CR7" s="4" t="str">
        <f t="shared" si="49"/>
        <v>0</v>
      </c>
      <c r="CS7" s="4" t="str">
        <f t="shared" si="50"/>
        <v>0</v>
      </c>
      <c r="CT7" s="4" t="str">
        <f t="shared" si="51"/>
        <v>1</v>
      </c>
      <c r="CU7" s="4">
        <f t="shared" si="52"/>
        <v>1</v>
      </c>
    </row>
    <row r="8" spans="1:99" x14ac:dyDescent="0.25">
      <c r="A8">
        <v>5</v>
      </c>
      <c r="C8" s="6">
        <f t="shared" ref="C8:N8" si="57">COUNTIF(C50:C154,5)</f>
        <v>7</v>
      </c>
      <c r="D8" s="6">
        <f t="shared" si="57"/>
        <v>1</v>
      </c>
      <c r="E8" s="7">
        <f t="shared" si="57"/>
        <v>0</v>
      </c>
      <c r="F8" s="23">
        <f t="shared" si="57"/>
        <v>0</v>
      </c>
      <c r="G8" s="24">
        <f t="shared" si="57"/>
        <v>0</v>
      </c>
      <c r="H8" s="7">
        <f t="shared" si="57"/>
        <v>1</v>
      </c>
      <c r="I8" s="23">
        <f t="shared" si="57"/>
        <v>11</v>
      </c>
      <c r="J8" s="24">
        <f t="shared" si="57"/>
        <v>5</v>
      </c>
      <c r="K8" s="10">
        <f t="shared" si="57"/>
        <v>0</v>
      </c>
      <c r="L8" s="10">
        <f t="shared" si="57"/>
        <v>0</v>
      </c>
      <c r="M8" s="10">
        <f t="shared" si="57"/>
        <v>0</v>
      </c>
      <c r="N8" s="6">
        <f t="shared" si="57"/>
        <v>4</v>
      </c>
      <c r="Q8" s="83">
        <f t="shared" si="14"/>
        <v>5.5</v>
      </c>
      <c r="R8" s="84">
        <f t="shared" si="15"/>
        <v>0</v>
      </c>
      <c r="S8" s="84">
        <f t="shared" si="16"/>
        <v>5</v>
      </c>
      <c r="T8" s="84">
        <f t="shared" si="17"/>
        <v>0.5</v>
      </c>
      <c r="U8" s="16" t="str">
        <f t="shared" si="1"/>
        <v xml:space="preserve"> </v>
      </c>
      <c r="V8" s="16" t="str">
        <f t="shared" si="2"/>
        <v xml:space="preserve"> </v>
      </c>
      <c r="W8" s="16" t="str">
        <f t="shared" si="3"/>
        <v>X</v>
      </c>
      <c r="X8" s="16" t="str">
        <f t="shared" si="4"/>
        <v xml:space="preserve"> </v>
      </c>
      <c r="Z8" s="84">
        <f t="shared" si="18"/>
        <v>5.5</v>
      </c>
      <c r="AA8" s="62" t="str">
        <f t="shared" si="5"/>
        <v>X</v>
      </c>
      <c r="AB8" s="58"/>
      <c r="AC8" s="76" t="str">
        <f t="shared" si="19"/>
        <v xml:space="preserve">5 </v>
      </c>
      <c r="AE8" s="16">
        <f t="shared" si="20"/>
        <v>0</v>
      </c>
      <c r="AF8" s="17">
        <f t="shared" si="21"/>
        <v>0</v>
      </c>
      <c r="AG8" s="17">
        <f t="shared" si="21"/>
        <v>0</v>
      </c>
      <c r="AH8" s="17">
        <f t="shared" si="22"/>
        <v>0</v>
      </c>
      <c r="AI8" s="25" t="str">
        <f t="shared" si="6"/>
        <v xml:space="preserve"> </v>
      </c>
      <c r="AJ8" s="25" t="str">
        <f t="shared" si="7"/>
        <v xml:space="preserve"> </v>
      </c>
      <c r="AK8" s="25" t="str">
        <f t="shared" si="7"/>
        <v xml:space="preserve"> </v>
      </c>
      <c r="AL8" s="16" t="str">
        <f t="shared" si="7"/>
        <v xml:space="preserve"> </v>
      </c>
      <c r="AN8" s="25" t="str">
        <f t="shared" si="8"/>
        <v>X</v>
      </c>
      <c r="AO8" s="25" t="str">
        <f t="shared" si="9"/>
        <v xml:space="preserve"> </v>
      </c>
      <c r="AP8" s="25" t="str">
        <f t="shared" si="10"/>
        <v xml:space="preserve"> </v>
      </c>
      <c r="AQ8" s="25" t="str">
        <f t="shared" si="11"/>
        <v xml:space="preserve"> </v>
      </c>
      <c r="AR8" s="25" t="str">
        <f t="shared" si="23"/>
        <v xml:space="preserve"> </v>
      </c>
      <c r="AS8" s="17">
        <f t="shared" si="24"/>
        <v>7</v>
      </c>
      <c r="AT8" s="17">
        <f t="shared" si="25"/>
        <v>1</v>
      </c>
      <c r="AV8" s="22">
        <f>STANDARDIZE(C8,C41,C42)</f>
        <v>2.4790027320385404</v>
      </c>
      <c r="AW8" s="22">
        <f>STANDARDIZE(D8,D41,D42)</f>
        <v>-0.28098933655370989</v>
      </c>
      <c r="AX8" s="3">
        <f t="shared" si="26"/>
        <v>8</v>
      </c>
      <c r="AY8" s="3">
        <f t="shared" si="27"/>
        <v>6</v>
      </c>
      <c r="AZ8" s="22">
        <f>STANDARDIZE(AX8,AX41,AX42)</f>
        <v>1.2512980890686864</v>
      </c>
      <c r="BA8" s="22">
        <f>STANDARDIZE(AY8,AY41,AY42)</f>
        <v>1.6871608186260658</v>
      </c>
      <c r="BC8" s="22">
        <f t="shared" ref="BC8:BN8" si="58">STANDARDIZE(C8,C41,C42)</f>
        <v>2.4790027320385404</v>
      </c>
      <c r="BD8" s="22">
        <f t="shared" si="58"/>
        <v>-0.28098933655370989</v>
      </c>
      <c r="BE8" s="22">
        <f t="shared" si="58"/>
        <v>-0.4509959436749138</v>
      </c>
      <c r="BF8" s="22">
        <f t="shared" si="58"/>
        <v>-0.57464408753430107</v>
      </c>
      <c r="BG8" s="22">
        <f t="shared" si="58"/>
        <v>-0.52243995676458588</v>
      </c>
      <c r="BH8" s="22">
        <f t="shared" si="58"/>
        <v>-0.2862301710920313</v>
      </c>
      <c r="BI8" s="22">
        <f t="shared" si="58"/>
        <v>3.163245107570742</v>
      </c>
      <c r="BJ8" s="22">
        <f t="shared" si="58"/>
        <v>1.3341510784781832</v>
      </c>
      <c r="BK8" s="22">
        <f t="shared" si="58"/>
        <v>-0.48228762305428424</v>
      </c>
      <c r="BL8" s="22">
        <f t="shared" si="58"/>
        <v>-0.49172252823733775</v>
      </c>
      <c r="BM8" s="22">
        <f t="shared" si="58"/>
        <v>-0.4080507828129884</v>
      </c>
      <c r="BN8" s="22">
        <f t="shared" si="58"/>
        <v>0.93162894408207231</v>
      </c>
      <c r="BP8" s="26">
        <f t="shared" si="29"/>
        <v>1</v>
      </c>
      <c r="BQ8" s="22">
        <f>STANDARDIZE(BP8,BP41,BP42)</f>
        <v>-0.46777332244167025</v>
      </c>
      <c r="BR8" s="22">
        <f t="shared" si="30"/>
        <v>5.5</v>
      </c>
      <c r="BS8" s="22">
        <f>STANDARDIZE(BR8,BR41,BR42)</f>
        <v>1.5258208543762255E-2</v>
      </c>
      <c r="BT8" s="22"/>
      <c r="BU8" s="26">
        <f t="shared" si="31"/>
        <v>11</v>
      </c>
      <c r="BV8" s="22">
        <f>STANDARDIZE(BU8,BU41,BU42)</f>
        <v>1.760965455021047</v>
      </c>
      <c r="BW8" s="22"/>
      <c r="BX8" s="26">
        <f t="shared" si="32"/>
        <v>0</v>
      </c>
      <c r="BY8" s="22">
        <f>STANDARDIZE(BX8,BX41,BX42)</f>
        <v>-0.49511509527680769</v>
      </c>
      <c r="BZ8"/>
      <c r="CA8" s="4" t="str">
        <f t="shared" si="33"/>
        <v>1</v>
      </c>
      <c r="CB8" s="4" t="str">
        <f t="shared" si="34"/>
        <v>1</v>
      </c>
      <c r="CC8" s="4" t="str">
        <f t="shared" si="35"/>
        <v>1</v>
      </c>
      <c r="CD8" s="4">
        <f t="shared" si="36"/>
        <v>3</v>
      </c>
      <c r="CE8" s="4" t="str">
        <f t="shared" si="37"/>
        <v>0</v>
      </c>
      <c r="CF8" s="4" t="str">
        <f t="shared" si="38"/>
        <v>0</v>
      </c>
      <c r="CG8" s="4" t="str">
        <f t="shared" si="39"/>
        <v>0</v>
      </c>
      <c r="CH8" s="4">
        <f t="shared" si="40"/>
        <v>0</v>
      </c>
      <c r="CI8" s="4" t="str">
        <f t="shared" si="41"/>
        <v>0</v>
      </c>
      <c r="CJ8" s="4" t="str">
        <f t="shared" si="42"/>
        <v>0</v>
      </c>
      <c r="CK8" s="4" t="str">
        <f t="shared" si="42"/>
        <v>1</v>
      </c>
      <c r="CL8" s="4">
        <f t="shared" si="43"/>
        <v>1</v>
      </c>
      <c r="CM8" s="4" t="str">
        <f t="shared" si="44"/>
        <v>1</v>
      </c>
      <c r="CN8" s="4" t="str">
        <f t="shared" si="45"/>
        <v>0</v>
      </c>
      <c r="CO8" s="4" t="str">
        <f t="shared" si="46"/>
        <v>1</v>
      </c>
      <c r="CP8" s="4">
        <f t="shared" si="47"/>
        <v>2</v>
      </c>
      <c r="CQ8" s="4" t="str">
        <f t="shared" si="48"/>
        <v>0</v>
      </c>
      <c r="CR8" s="4" t="str">
        <f t="shared" si="49"/>
        <v>1</v>
      </c>
      <c r="CS8" s="4" t="str">
        <f t="shared" si="50"/>
        <v>0</v>
      </c>
      <c r="CT8" s="4" t="str">
        <f t="shared" si="51"/>
        <v>0</v>
      </c>
      <c r="CU8" s="4">
        <f t="shared" si="52"/>
        <v>1</v>
      </c>
    </row>
    <row r="9" spans="1:99" x14ac:dyDescent="0.25">
      <c r="A9">
        <v>6</v>
      </c>
      <c r="C9" s="6">
        <f t="shared" ref="C9:N9" si="59">COUNTIF(C50:C154,6)</f>
        <v>0</v>
      </c>
      <c r="D9" s="6">
        <f t="shared" si="59"/>
        <v>9</v>
      </c>
      <c r="E9" s="7">
        <f t="shared" si="59"/>
        <v>13</v>
      </c>
      <c r="F9" s="23">
        <f t="shared" si="59"/>
        <v>9</v>
      </c>
      <c r="G9" s="24">
        <f t="shared" si="59"/>
        <v>13</v>
      </c>
      <c r="H9" s="7">
        <f t="shared" si="59"/>
        <v>5</v>
      </c>
      <c r="I9" s="23">
        <f t="shared" si="59"/>
        <v>0</v>
      </c>
      <c r="J9" s="24">
        <f t="shared" si="59"/>
        <v>1</v>
      </c>
      <c r="K9" s="10">
        <f t="shared" si="59"/>
        <v>16</v>
      </c>
      <c r="L9" s="10">
        <f t="shared" si="59"/>
        <v>15</v>
      </c>
      <c r="M9" s="10">
        <f t="shared" si="59"/>
        <v>19</v>
      </c>
      <c r="N9" s="6">
        <f t="shared" si="59"/>
        <v>0</v>
      </c>
      <c r="Q9" s="83">
        <f t="shared" si="14"/>
        <v>23</v>
      </c>
      <c r="R9" s="84">
        <f t="shared" si="15"/>
        <v>13</v>
      </c>
      <c r="S9" s="84">
        <f t="shared" si="16"/>
        <v>1</v>
      </c>
      <c r="T9" s="84">
        <f t="shared" si="17"/>
        <v>9</v>
      </c>
      <c r="U9" s="16" t="str">
        <f t="shared" si="1"/>
        <v>X</v>
      </c>
      <c r="V9" s="16" t="str">
        <f t="shared" si="2"/>
        <v>X</v>
      </c>
      <c r="W9" s="16" t="str">
        <f t="shared" si="3"/>
        <v xml:space="preserve"> </v>
      </c>
      <c r="X9" s="16" t="str">
        <f t="shared" si="4"/>
        <v>X</v>
      </c>
      <c r="Z9" s="84">
        <f t="shared" si="18"/>
        <v>4.5</v>
      </c>
      <c r="AA9" s="62" t="str">
        <f t="shared" si="5"/>
        <v>X</v>
      </c>
      <c r="AB9" s="58"/>
      <c r="AC9" s="76" t="str">
        <f t="shared" si="19"/>
        <v xml:space="preserve">6 </v>
      </c>
      <c r="AE9" s="16">
        <f t="shared" si="20"/>
        <v>50</v>
      </c>
      <c r="AF9" s="17">
        <f t="shared" si="21"/>
        <v>16</v>
      </c>
      <c r="AG9" s="17">
        <f t="shared" si="21"/>
        <v>15</v>
      </c>
      <c r="AH9" s="17">
        <f t="shared" si="22"/>
        <v>19</v>
      </c>
      <c r="AI9" s="25" t="str">
        <f t="shared" si="6"/>
        <v>X</v>
      </c>
      <c r="AJ9" s="25" t="str">
        <f t="shared" si="7"/>
        <v>X</v>
      </c>
      <c r="AK9" s="25" t="str">
        <f t="shared" si="7"/>
        <v>X</v>
      </c>
      <c r="AL9" s="16" t="str">
        <f t="shared" si="7"/>
        <v>X</v>
      </c>
      <c r="AN9" s="25" t="str">
        <f t="shared" si="8"/>
        <v xml:space="preserve"> </v>
      </c>
      <c r="AO9" s="25" t="str">
        <f t="shared" si="9"/>
        <v>X</v>
      </c>
      <c r="AP9" s="25" t="str">
        <f t="shared" si="10"/>
        <v xml:space="preserve"> </v>
      </c>
      <c r="AQ9" s="25" t="str">
        <f t="shared" si="11"/>
        <v xml:space="preserve"> </v>
      </c>
      <c r="AR9" s="25" t="str">
        <f t="shared" si="23"/>
        <v xml:space="preserve"> </v>
      </c>
      <c r="AS9" s="17">
        <f t="shared" si="24"/>
        <v>0</v>
      </c>
      <c r="AT9" s="17">
        <f t="shared" si="25"/>
        <v>9</v>
      </c>
      <c r="AV9" s="22">
        <f>STANDARDIZE(C9,C41,C42)</f>
        <v>-0.85811633032103318</v>
      </c>
      <c r="AW9" s="22">
        <f>STANDARDIZE(D9,D41,D42)</f>
        <v>2.5289040289833888</v>
      </c>
      <c r="AX9" s="3">
        <f t="shared" si="26"/>
        <v>9</v>
      </c>
      <c r="AY9" s="3">
        <f t="shared" si="27"/>
        <v>-9</v>
      </c>
      <c r="AZ9" s="22">
        <f>STANDARDIZE(AX9,AX41,AX42)</f>
        <v>1.5356840184024787</v>
      </c>
      <c r="BA9" s="22">
        <f>STANDARDIZE(AY9,AY41,AY42)</f>
        <v>-2.5307412279390986</v>
      </c>
      <c r="BC9" s="22">
        <f t="shared" ref="BC9:BN9" si="60">STANDARDIZE(C9,C41,C42)</f>
        <v>-0.85811633032103318</v>
      </c>
      <c r="BD9" s="22">
        <f t="shared" si="60"/>
        <v>2.5289040289833888</v>
      </c>
      <c r="BE9" s="22">
        <f t="shared" si="60"/>
        <v>2.8061969828661302</v>
      </c>
      <c r="BF9" s="22">
        <f t="shared" si="60"/>
        <v>2.2985763501372043</v>
      </c>
      <c r="BG9" s="22">
        <f t="shared" si="60"/>
        <v>3.2507375087574228</v>
      </c>
      <c r="BH9" s="22">
        <f t="shared" si="60"/>
        <v>1.1449206843681252</v>
      </c>
      <c r="BI9" s="22">
        <f t="shared" si="60"/>
        <v>-0.6188957819160148</v>
      </c>
      <c r="BJ9" s="22">
        <f t="shared" si="60"/>
        <v>-0.33353776961954579</v>
      </c>
      <c r="BK9" s="22">
        <f t="shared" si="60"/>
        <v>3.8047134707615755</v>
      </c>
      <c r="BL9" s="22">
        <f t="shared" si="60"/>
        <v>3.6059652070738095</v>
      </c>
      <c r="BM9" s="22">
        <f t="shared" si="60"/>
        <v>3.8991519246574442</v>
      </c>
      <c r="BN9" s="22">
        <f t="shared" si="60"/>
        <v>-0.76224186333987731</v>
      </c>
      <c r="BP9" s="26">
        <f t="shared" si="29"/>
        <v>18</v>
      </c>
      <c r="BQ9" s="22">
        <f>STANDARDIZE(BP9,BP41,BP42)</f>
        <v>2.5907445550615584</v>
      </c>
      <c r="BR9" s="22">
        <f t="shared" si="30"/>
        <v>23</v>
      </c>
      <c r="BS9" s="22">
        <f>STANDARDIZE(BR9,BR41,BR42)</f>
        <v>2.6854447037021667</v>
      </c>
      <c r="BT9" s="22"/>
      <c r="BU9" s="26">
        <f t="shared" si="31"/>
        <v>9</v>
      </c>
      <c r="BV9" s="22">
        <f>STANDARDIZE(BU9,BU41,BU42)</f>
        <v>1.2850288455558991</v>
      </c>
      <c r="BW9" s="22"/>
      <c r="BX9" s="26">
        <f t="shared" si="32"/>
        <v>50</v>
      </c>
      <c r="BY9" s="22">
        <f>STANDARDIZE(BX9,BX41,BX42)</f>
        <v>4.089283935064004</v>
      </c>
      <c r="BZ9"/>
      <c r="CA9" s="4" t="str">
        <f t="shared" si="33"/>
        <v>0</v>
      </c>
      <c r="CB9" s="4" t="str">
        <f t="shared" si="34"/>
        <v>0</v>
      </c>
      <c r="CC9" s="4" t="str">
        <f t="shared" si="35"/>
        <v>0</v>
      </c>
      <c r="CD9" s="4">
        <f t="shared" si="36"/>
        <v>0</v>
      </c>
      <c r="CE9" s="4" t="str">
        <f t="shared" si="37"/>
        <v>1</v>
      </c>
      <c r="CF9" s="4" t="str">
        <f t="shared" si="38"/>
        <v>1</v>
      </c>
      <c r="CG9" s="4" t="str">
        <f t="shared" si="39"/>
        <v>1</v>
      </c>
      <c r="CH9" s="4">
        <f t="shared" si="40"/>
        <v>3</v>
      </c>
      <c r="CI9" s="4" t="str">
        <f t="shared" si="41"/>
        <v>0</v>
      </c>
      <c r="CJ9" s="4" t="str">
        <f t="shared" si="42"/>
        <v>1</v>
      </c>
      <c r="CK9" s="4" t="str">
        <f t="shared" si="42"/>
        <v>0</v>
      </c>
      <c r="CL9" s="4">
        <f t="shared" si="43"/>
        <v>1</v>
      </c>
      <c r="CM9" s="4" t="str">
        <f t="shared" si="44"/>
        <v>1</v>
      </c>
      <c r="CN9" s="4" t="str">
        <f t="shared" si="45"/>
        <v>1</v>
      </c>
      <c r="CO9" s="4" t="str">
        <f t="shared" si="46"/>
        <v>0</v>
      </c>
      <c r="CP9" s="4">
        <f t="shared" si="47"/>
        <v>2</v>
      </c>
      <c r="CQ9" s="4" t="str">
        <f t="shared" si="48"/>
        <v>1</v>
      </c>
      <c r="CR9" s="4" t="str">
        <f t="shared" si="49"/>
        <v>0</v>
      </c>
      <c r="CS9" s="4" t="str">
        <f t="shared" si="50"/>
        <v>0</v>
      </c>
      <c r="CT9" s="4" t="str">
        <f t="shared" si="51"/>
        <v>1</v>
      </c>
      <c r="CU9" s="4">
        <f t="shared" si="52"/>
        <v>2</v>
      </c>
    </row>
    <row r="10" spans="1:99" x14ac:dyDescent="0.25">
      <c r="A10">
        <v>7</v>
      </c>
      <c r="C10" s="6">
        <f t="shared" ref="C10:N10" si="61">COUNTIF(C50:C154,7)</f>
        <v>1</v>
      </c>
      <c r="D10" s="6">
        <f t="shared" si="61"/>
        <v>8</v>
      </c>
      <c r="E10" s="7">
        <f t="shared" si="61"/>
        <v>2</v>
      </c>
      <c r="F10" s="23">
        <f t="shared" si="61"/>
        <v>2</v>
      </c>
      <c r="G10" s="24">
        <f t="shared" si="61"/>
        <v>2</v>
      </c>
      <c r="H10" s="7">
        <f t="shared" si="61"/>
        <v>3</v>
      </c>
      <c r="I10" s="23">
        <f t="shared" si="61"/>
        <v>0</v>
      </c>
      <c r="J10" s="24">
        <f t="shared" si="61"/>
        <v>0</v>
      </c>
      <c r="K10" s="10">
        <f t="shared" si="61"/>
        <v>9</v>
      </c>
      <c r="L10" s="10">
        <f t="shared" si="61"/>
        <v>11</v>
      </c>
      <c r="M10" s="10">
        <f t="shared" si="61"/>
        <v>14</v>
      </c>
      <c r="N10" s="6">
        <f t="shared" si="61"/>
        <v>0</v>
      </c>
      <c r="Q10" s="83">
        <f t="shared" si="14"/>
        <v>4.5</v>
      </c>
      <c r="R10" s="84">
        <f t="shared" si="15"/>
        <v>2</v>
      </c>
      <c r="S10" s="84">
        <f t="shared" si="16"/>
        <v>0</v>
      </c>
      <c r="T10" s="84">
        <f t="shared" si="17"/>
        <v>2.5</v>
      </c>
      <c r="U10" s="16" t="str">
        <f t="shared" si="1"/>
        <v xml:space="preserve"> </v>
      </c>
      <c r="V10" s="16" t="str">
        <f t="shared" si="2"/>
        <v xml:space="preserve"> </v>
      </c>
      <c r="W10" s="16" t="str">
        <f t="shared" si="3"/>
        <v xml:space="preserve"> </v>
      </c>
      <c r="X10" s="16" t="str">
        <f t="shared" si="4"/>
        <v xml:space="preserve"> </v>
      </c>
      <c r="Z10" s="84">
        <f t="shared" si="18"/>
        <v>1</v>
      </c>
      <c r="AA10" s="62" t="str">
        <f t="shared" si="5"/>
        <v xml:space="preserve"> </v>
      </c>
      <c r="AB10" s="58"/>
      <c r="AC10" s="76" t="str">
        <f t="shared" si="19"/>
        <v xml:space="preserve">7 </v>
      </c>
      <c r="AE10" s="16">
        <f t="shared" si="20"/>
        <v>34</v>
      </c>
      <c r="AF10" s="17">
        <f t="shared" si="21"/>
        <v>9</v>
      </c>
      <c r="AG10" s="17">
        <f t="shared" si="21"/>
        <v>11</v>
      </c>
      <c r="AH10" s="17">
        <f t="shared" si="22"/>
        <v>14</v>
      </c>
      <c r="AI10" s="25" t="str">
        <f t="shared" si="6"/>
        <v>X</v>
      </c>
      <c r="AJ10" s="25" t="str">
        <f t="shared" si="7"/>
        <v>X</v>
      </c>
      <c r="AK10" s="25" t="str">
        <f t="shared" si="7"/>
        <v>X</v>
      </c>
      <c r="AL10" s="16" t="str">
        <f t="shared" si="7"/>
        <v>X</v>
      </c>
      <c r="AN10" s="25" t="str">
        <f t="shared" si="8"/>
        <v xml:space="preserve"> </v>
      </c>
      <c r="AO10" s="25" t="str">
        <f t="shared" si="9"/>
        <v>X</v>
      </c>
      <c r="AP10" s="25" t="str">
        <f t="shared" si="10"/>
        <v xml:space="preserve"> </v>
      </c>
      <c r="AQ10" s="25" t="str">
        <f t="shared" si="11"/>
        <v xml:space="preserve"> </v>
      </c>
      <c r="AR10" s="25" t="str">
        <f t="shared" si="23"/>
        <v xml:space="preserve"> </v>
      </c>
      <c r="AS10" s="17">
        <f t="shared" si="24"/>
        <v>1</v>
      </c>
      <c r="AT10" s="17">
        <f t="shared" si="25"/>
        <v>8</v>
      </c>
      <c r="AV10" s="22">
        <f>STANDARDIZE(C10,C41,C42)</f>
        <v>-0.38138503569823701</v>
      </c>
      <c r="AW10" s="22">
        <f>STANDARDIZE(D10,D41,D42)</f>
        <v>2.1776673582912514</v>
      </c>
      <c r="AX10" s="3">
        <f t="shared" si="26"/>
        <v>9</v>
      </c>
      <c r="AY10" s="3">
        <f t="shared" si="27"/>
        <v>-7</v>
      </c>
      <c r="AZ10" s="22">
        <f>STANDARDIZE(AX10,AX41,AX42)</f>
        <v>1.5356840184024787</v>
      </c>
      <c r="BA10" s="22">
        <f>STANDARDIZE(AY10,AY41,AY42)</f>
        <v>-1.9683542883970768</v>
      </c>
      <c r="BC10" s="22">
        <f t="shared" ref="BC10:BN10" si="62">STANDARDIZE(C10,C41,C42)</f>
        <v>-0.38138503569823701</v>
      </c>
      <c r="BD10" s="22">
        <f t="shared" si="62"/>
        <v>2.1776673582912514</v>
      </c>
      <c r="BE10" s="22">
        <f t="shared" si="62"/>
        <v>5.0110660408323744E-2</v>
      </c>
      <c r="BF10" s="22">
        <f t="shared" si="62"/>
        <v>6.3849343059366764E-2</v>
      </c>
      <c r="BG10" s="22">
        <f t="shared" si="62"/>
        <v>5.8048884084953969E-2</v>
      </c>
      <c r="BH10" s="22">
        <f t="shared" si="62"/>
        <v>0.4293452566380469</v>
      </c>
      <c r="BI10" s="22">
        <f t="shared" si="62"/>
        <v>-0.6188957819160148</v>
      </c>
      <c r="BJ10" s="22">
        <f t="shared" si="62"/>
        <v>-0.75045998164397798</v>
      </c>
      <c r="BK10" s="22">
        <f t="shared" si="62"/>
        <v>1.929150492217137</v>
      </c>
      <c r="BL10" s="22">
        <f t="shared" si="62"/>
        <v>2.5132484776575037</v>
      </c>
      <c r="BM10" s="22">
        <f t="shared" si="62"/>
        <v>2.7656775279546988</v>
      </c>
      <c r="BN10" s="22">
        <f t="shared" si="62"/>
        <v>-0.76224186333987731</v>
      </c>
      <c r="BP10" s="26">
        <f t="shared" si="29"/>
        <v>5</v>
      </c>
      <c r="BQ10" s="22">
        <f>STANDARDIZE(BP10,BP41,BP42)</f>
        <v>0.25187794285320703</v>
      </c>
      <c r="BR10" s="22">
        <f t="shared" si="30"/>
        <v>4.5</v>
      </c>
      <c r="BS10" s="22">
        <f>STANDARDIZE(BR10,BR41,BR42)</f>
        <v>-0.13732387689386083</v>
      </c>
      <c r="BT10" s="22"/>
      <c r="BU10" s="26">
        <f t="shared" si="31"/>
        <v>2</v>
      </c>
      <c r="BV10" s="22">
        <f>STANDARDIZE(BU10,BU41,BU42)</f>
        <v>-0.38074928757211823</v>
      </c>
      <c r="BW10" s="22"/>
      <c r="BX10" s="26">
        <f t="shared" si="32"/>
        <v>34</v>
      </c>
      <c r="BY10" s="22">
        <f>STANDARDIZE(BX10,BX41,BX42)</f>
        <v>2.6222762453549446</v>
      </c>
      <c r="BZ10"/>
      <c r="CA10" s="4" t="str">
        <f t="shared" si="33"/>
        <v>0</v>
      </c>
      <c r="CB10" s="4" t="str">
        <f t="shared" si="34"/>
        <v>0</v>
      </c>
      <c r="CC10" s="4" t="str">
        <f t="shared" si="35"/>
        <v>0</v>
      </c>
      <c r="CD10" s="4">
        <f t="shared" si="36"/>
        <v>0</v>
      </c>
      <c r="CE10" s="4" t="str">
        <f t="shared" si="37"/>
        <v>1</v>
      </c>
      <c r="CF10" s="4" t="str">
        <f t="shared" si="38"/>
        <v>1</v>
      </c>
      <c r="CG10" s="4" t="str">
        <f t="shared" si="39"/>
        <v>1</v>
      </c>
      <c r="CH10" s="4">
        <f t="shared" si="40"/>
        <v>3</v>
      </c>
      <c r="CI10" s="4" t="str">
        <f t="shared" si="41"/>
        <v>0</v>
      </c>
      <c r="CJ10" s="4" t="str">
        <f t="shared" si="42"/>
        <v>1</v>
      </c>
      <c r="CK10" s="4" t="str">
        <f t="shared" si="42"/>
        <v>0</v>
      </c>
      <c r="CL10" s="4">
        <f t="shared" si="43"/>
        <v>1</v>
      </c>
      <c r="CM10" s="4" t="str">
        <f t="shared" si="44"/>
        <v>1</v>
      </c>
      <c r="CN10" s="4" t="str">
        <f t="shared" si="45"/>
        <v>1</v>
      </c>
      <c r="CO10" s="4" t="str">
        <f t="shared" si="46"/>
        <v>0</v>
      </c>
      <c r="CP10" s="4">
        <f t="shared" si="47"/>
        <v>2</v>
      </c>
      <c r="CQ10" s="4" t="str">
        <f t="shared" si="48"/>
        <v>0</v>
      </c>
      <c r="CR10" s="4" t="str">
        <f t="shared" si="49"/>
        <v>0</v>
      </c>
      <c r="CS10" s="4" t="str">
        <f t="shared" si="50"/>
        <v>0</v>
      </c>
      <c r="CT10" s="4" t="str">
        <f t="shared" si="51"/>
        <v>1</v>
      </c>
      <c r="CU10" s="4">
        <f t="shared" si="52"/>
        <v>1</v>
      </c>
    </row>
    <row r="11" spans="1:99" x14ac:dyDescent="0.25">
      <c r="A11">
        <v>8</v>
      </c>
      <c r="C11" s="6">
        <f t="shared" ref="C11:N11" si="63">COUNTIF(C50:C154,8)</f>
        <v>5</v>
      </c>
      <c r="D11" s="6">
        <f t="shared" si="63"/>
        <v>1</v>
      </c>
      <c r="E11" s="7">
        <f t="shared" si="63"/>
        <v>0</v>
      </c>
      <c r="F11" s="23">
        <f t="shared" si="63"/>
        <v>1</v>
      </c>
      <c r="G11" s="24">
        <f t="shared" si="63"/>
        <v>1</v>
      </c>
      <c r="H11" s="7">
        <f t="shared" si="63"/>
        <v>4</v>
      </c>
      <c r="I11" s="23">
        <f t="shared" si="63"/>
        <v>6</v>
      </c>
      <c r="J11" s="24">
        <f t="shared" si="63"/>
        <v>4</v>
      </c>
      <c r="K11" s="10">
        <f t="shared" si="63"/>
        <v>1</v>
      </c>
      <c r="L11" s="10">
        <f t="shared" si="63"/>
        <v>0</v>
      </c>
      <c r="M11" s="10">
        <f t="shared" si="63"/>
        <v>0</v>
      </c>
      <c r="N11" s="6">
        <f t="shared" si="63"/>
        <v>6</v>
      </c>
      <c r="Q11" s="83">
        <f t="shared" si="14"/>
        <v>7</v>
      </c>
      <c r="R11" s="84">
        <f t="shared" si="15"/>
        <v>1</v>
      </c>
      <c r="S11" s="84">
        <f t="shared" si="16"/>
        <v>4</v>
      </c>
      <c r="T11" s="84">
        <f t="shared" si="17"/>
        <v>2</v>
      </c>
      <c r="U11" s="16" t="str">
        <f t="shared" si="1"/>
        <v xml:space="preserve"> </v>
      </c>
      <c r="V11" s="16" t="str">
        <f t="shared" si="2"/>
        <v xml:space="preserve"> </v>
      </c>
      <c r="W11" s="16" t="str">
        <f t="shared" si="3"/>
        <v xml:space="preserve"> </v>
      </c>
      <c r="X11" s="16" t="str">
        <f t="shared" si="4"/>
        <v xml:space="preserve"> </v>
      </c>
      <c r="Z11" s="84">
        <f t="shared" si="18"/>
        <v>3.5</v>
      </c>
      <c r="AA11" s="62" t="str">
        <f t="shared" si="5"/>
        <v xml:space="preserve"> </v>
      </c>
      <c r="AB11" s="58"/>
      <c r="AC11" s="76" t="str">
        <f t="shared" si="19"/>
        <v xml:space="preserve">8 </v>
      </c>
      <c r="AE11" s="16">
        <f t="shared" si="20"/>
        <v>1</v>
      </c>
      <c r="AF11" s="17">
        <f t="shared" si="21"/>
        <v>1</v>
      </c>
      <c r="AG11" s="17">
        <f t="shared" si="21"/>
        <v>0</v>
      </c>
      <c r="AH11" s="17">
        <f t="shared" si="22"/>
        <v>0</v>
      </c>
      <c r="AI11" s="25" t="str">
        <f t="shared" si="6"/>
        <v xml:space="preserve"> </v>
      </c>
      <c r="AJ11" s="25" t="str">
        <f t="shared" si="7"/>
        <v xml:space="preserve"> </v>
      </c>
      <c r="AK11" s="25" t="str">
        <f t="shared" si="7"/>
        <v xml:space="preserve"> </v>
      </c>
      <c r="AL11" s="16" t="str">
        <f t="shared" si="7"/>
        <v xml:space="preserve"> </v>
      </c>
      <c r="AN11" s="25" t="str">
        <f t="shared" si="8"/>
        <v>X</v>
      </c>
      <c r="AO11" s="25" t="str">
        <f t="shared" si="9"/>
        <v xml:space="preserve"> </v>
      </c>
      <c r="AP11" s="25" t="str">
        <f t="shared" si="10"/>
        <v xml:space="preserve"> </v>
      </c>
      <c r="AQ11" s="25" t="str">
        <f t="shared" si="11"/>
        <v xml:space="preserve"> </v>
      </c>
      <c r="AR11" s="25" t="str">
        <f t="shared" si="23"/>
        <v xml:space="preserve"> </v>
      </c>
      <c r="AS11" s="17">
        <f t="shared" si="24"/>
        <v>5</v>
      </c>
      <c r="AT11" s="17">
        <f t="shared" si="25"/>
        <v>1</v>
      </c>
      <c r="AV11" s="22">
        <f>STANDARDIZE(C11,C41,C42)</f>
        <v>1.525540142792948</v>
      </c>
      <c r="AW11" s="22">
        <f>STANDARDIZE(D11,D41,D42)</f>
        <v>-0.28098933655370989</v>
      </c>
      <c r="AX11" s="3">
        <f t="shared" si="26"/>
        <v>6</v>
      </c>
      <c r="AY11" s="3">
        <f t="shared" si="27"/>
        <v>4</v>
      </c>
      <c r="AZ11" s="22">
        <f>STANDARDIZE(AX11,AX41,AX42)</f>
        <v>0.68252623040110161</v>
      </c>
      <c r="BA11" s="22">
        <f>STANDARDIZE(AY11,AY41,AY42)</f>
        <v>1.1247738790840438</v>
      </c>
      <c r="BC11" s="22">
        <f t="shared" ref="BC11:BN11" si="64">STANDARDIZE(C11,C41,C42)</f>
        <v>1.525540142792948</v>
      </c>
      <c r="BD11" s="22">
        <f t="shared" si="64"/>
        <v>-0.28098933655370989</v>
      </c>
      <c r="BE11" s="22">
        <f t="shared" si="64"/>
        <v>-0.4509959436749138</v>
      </c>
      <c r="BF11" s="22">
        <f t="shared" si="64"/>
        <v>-0.25539737223746717</v>
      </c>
      <c r="BG11" s="22">
        <f t="shared" si="64"/>
        <v>-0.23219553633981596</v>
      </c>
      <c r="BH11" s="22">
        <f t="shared" si="64"/>
        <v>0.78713297050308606</v>
      </c>
      <c r="BI11" s="22">
        <f t="shared" si="64"/>
        <v>1.4440901578040344</v>
      </c>
      <c r="BJ11" s="22">
        <f t="shared" si="64"/>
        <v>0.9172288664537509</v>
      </c>
      <c r="BK11" s="22">
        <f t="shared" si="64"/>
        <v>-0.21435005469079299</v>
      </c>
      <c r="BL11" s="22">
        <f t="shared" si="64"/>
        <v>-0.49172252823733775</v>
      </c>
      <c r="BM11" s="22">
        <f t="shared" si="64"/>
        <v>-0.4080507828129884</v>
      </c>
      <c r="BN11" s="22">
        <f t="shared" si="64"/>
        <v>1.7785643477930471</v>
      </c>
      <c r="BP11" s="26">
        <f t="shared" si="29"/>
        <v>4</v>
      </c>
      <c r="BQ11" s="22">
        <f>STANDARDIZE(BP11,BP41,BP42)</f>
        <v>7.1965126529487708E-2</v>
      </c>
      <c r="BR11" s="22">
        <f t="shared" si="30"/>
        <v>7</v>
      </c>
      <c r="BS11" s="22">
        <f>STANDARDIZE(BR11,BR41,BR42)</f>
        <v>0.24413133670019688</v>
      </c>
      <c r="BT11" s="22"/>
      <c r="BU11" s="26">
        <f t="shared" si="31"/>
        <v>7</v>
      </c>
      <c r="BV11" s="22">
        <f>STANDARDIZE(BU11,BU41,BU42)</f>
        <v>0.8090922360907512</v>
      </c>
      <c r="BW11" s="22"/>
      <c r="BX11" s="26">
        <f t="shared" si="32"/>
        <v>1</v>
      </c>
      <c r="BY11" s="22">
        <f>STANDARDIZE(BX11,BX41,BX42)</f>
        <v>-0.40342711466999148</v>
      </c>
      <c r="BZ11"/>
      <c r="CA11" s="4" t="str">
        <f t="shared" si="33"/>
        <v>1</v>
      </c>
      <c r="CB11" s="4" t="str">
        <f t="shared" si="34"/>
        <v>1</v>
      </c>
      <c r="CC11" s="4" t="str">
        <f t="shared" si="35"/>
        <v>1</v>
      </c>
      <c r="CD11" s="4">
        <f t="shared" si="36"/>
        <v>3</v>
      </c>
      <c r="CE11" s="4" t="str">
        <f t="shared" si="37"/>
        <v>0</v>
      </c>
      <c r="CF11" s="4" t="str">
        <f t="shared" si="38"/>
        <v>0</v>
      </c>
      <c r="CG11" s="4" t="str">
        <f t="shared" si="39"/>
        <v>0</v>
      </c>
      <c r="CH11" s="4">
        <f t="shared" si="40"/>
        <v>0</v>
      </c>
      <c r="CI11" s="4" t="str">
        <f t="shared" si="41"/>
        <v>0</v>
      </c>
      <c r="CJ11" s="4" t="str">
        <f t="shared" si="42"/>
        <v>0</v>
      </c>
      <c r="CK11" s="4" t="str">
        <f t="shared" si="42"/>
        <v>1</v>
      </c>
      <c r="CL11" s="4">
        <f t="shared" si="43"/>
        <v>1</v>
      </c>
      <c r="CM11" s="4" t="str">
        <f t="shared" si="44"/>
        <v>0</v>
      </c>
      <c r="CN11" s="4" t="str">
        <f t="shared" si="45"/>
        <v>0</v>
      </c>
      <c r="CO11" s="4" t="str">
        <f t="shared" si="46"/>
        <v>1</v>
      </c>
      <c r="CP11" s="4">
        <f t="shared" si="47"/>
        <v>1</v>
      </c>
      <c r="CQ11" s="4" t="str">
        <f t="shared" si="48"/>
        <v>0</v>
      </c>
      <c r="CR11" s="4" t="str">
        <f t="shared" si="49"/>
        <v>1</v>
      </c>
      <c r="CS11" s="4" t="str">
        <f t="shared" si="50"/>
        <v>0</v>
      </c>
      <c r="CT11" s="4" t="str">
        <f t="shared" si="51"/>
        <v>0</v>
      </c>
      <c r="CU11" s="4">
        <f t="shared" si="52"/>
        <v>1</v>
      </c>
    </row>
    <row r="12" spans="1:99" x14ac:dyDescent="0.25">
      <c r="A12">
        <v>9</v>
      </c>
      <c r="C12" s="6">
        <f t="shared" ref="C12:N12" si="65">COUNTIF(C50:C154,9)</f>
        <v>5</v>
      </c>
      <c r="D12" s="6">
        <f t="shared" si="65"/>
        <v>4</v>
      </c>
      <c r="E12" s="7">
        <f t="shared" si="65"/>
        <v>0</v>
      </c>
      <c r="F12" s="23">
        <f t="shared" si="65"/>
        <v>8</v>
      </c>
      <c r="G12" s="24">
        <f t="shared" si="65"/>
        <v>8</v>
      </c>
      <c r="H12" s="7">
        <f t="shared" si="65"/>
        <v>10</v>
      </c>
      <c r="I12" s="23">
        <f t="shared" si="65"/>
        <v>5</v>
      </c>
      <c r="J12" s="24">
        <f t="shared" si="65"/>
        <v>4</v>
      </c>
      <c r="K12" s="10">
        <f t="shared" si="65"/>
        <v>0</v>
      </c>
      <c r="L12" s="10">
        <f t="shared" si="65"/>
        <v>1</v>
      </c>
      <c r="M12" s="10">
        <f t="shared" si="65"/>
        <v>0</v>
      </c>
      <c r="N12" s="6">
        <f t="shared" si="65"/>
        <v>4</v>
      </c>
      <c r="Q12" s="83">
        <f t="shared" si="14"/>
        <v>17</v>
      </c>
      <c r="R12" s="84">
        <f t="shared" si="15"/>
        <v>8</v>
      </c>
      <c r="S12" s="84">
        <f t="shared" si="16"/>
        <v>4</v>
      </c>
      <c r="T12" s="84">
        <f t="shared" si="17"/>
        <v>5</v>
      </c>
      <c r="U12" s="16" t="str">
        <f t="shared" si="1"/>
        <v>X</v>
      </c>
      <c r="V12" s="16" t="str">
        <f t="shared" si="2"/>
        <v>X</v>
      </c>
      <c r="W12" s="16" t="str">
        <f t="shared" si="3"/>
        <v xml:space="preserve"> </v>
      </c>
      <c r="X12" s="16" t="str">
        <f t="shared" si="4"/>
        <v>X</v>
      </c>
      <c r="Z12" s="84">
        <f t="shared" si="18"/>
        <v>6.5</v>
      </c>
      <c r="AA12" s="62" t="str">
        <f t="shared" si="5"/>
        <v>X</v>
      </c>
      <c r="AB12" s="58"/>
      <c r="AC12" s="76" t="str">
        <f t="shared" si="19"/>
        <v xml:space="preserve">9 </v>
      </c>
      <c r="AE12" s="16">
        <f t="shared" si="20"/>
        <v>1</v>
      </c>
      <c r="AF12" s="17">
        <f t="shared" si="21"/>
        <v>0</v>
      </c>
      <c r="AG12" s="17">
        <f t="shared" si="21"/>
        <v>1</v>
      </c>
      <c r="AH12" s="17">
        <f t="shared" si="22"/>
        <v>0</v>
      </c>
      <c r="AI12" s="25" t="str">
        <f t="shared" si="6"/>
        <v xml:space="preserve"> </v>
      </c>
      <c r="AJ12" s="25" t="str">
        <f t="shared" si="7"/>
        <v xml:space="preserve"> </v>
      </c>
      <c r="AK12" s="25" t="str">
        <f t="shared" si="7"/>
        <v xml:space="preserve"> </v>
      </c>
      <c r="AL12" s="16" t="str">
        <f t="shared" si="7"/>
        <v xml:space="preserve"> </v>
      </c>
      <c r="AN12" s="25" t="str">
        <f t="shared" si="8"/>
        <v xml:space="preserve"> </v>
      </c>
      <c r="AO12" s="25" t="str">
        <f t="shared" si="9"/>
        <v xml:space="preserve"> </v>
      </c>
      <c r="AP12" s="25" t="str">
        <f t="shared" si="10"/>
        <v xml:space="preserve"> </v>
      </c>
      <c r="AQ12" s="25" t="str">
        <f t="shared" si="11"/>
        <v>X</v>
      </c>
      <c r="AR12" s="25" t="str">
        <f t="shared" si="23"/>
        <v xml:space="preserve"> </v>
      </c>
      <c r="AS12" s="17">
        <f t="shared" si="24"/>
        <v>5</v>
      </c>
      <c r="AT12" s="17">
        <f t="shared" si="25"/>
        <v>4</v>
      </c>
      <c r="AV12" s="22">
        <f>STANDARDIZE(C12,C41,C42)</f>
        <v>1.525540142792948</v>
      </c>
      <c r="AW12" s="22">
        <f>STANDARDIZE(D12,D41,D42)</f>
        <v>0.77272067552270218</v>
      </c>
      <c r="AX12" s="3">
        <f t="shared" si="26"/>
        <v>9</v>
      </c>
      <c r="AY12" s="3">
        <f t="shared" si="27"/>
        <v>1</v>
      </c>
      <c r="AZ12" s="22">
        <f>STANDARDIZE(AX12,AX41,AX42)</f>
        <v>1.5356840184024787</v>
      </c>
      <c r="BA12" s="22">
        <f>STANDARDIZE(AY12,AY41,AY42)</f>
        <v>0.28119346977101095</v>
      </c>
      <c r="BC12" s="22">
        <f t="shared" ref="BC12:BN12" si="66">STANDARDIZE(C12,C41,C42)</f>
        <v>1.525540142792948</v>
      </c>
      <c r="BD12" s="22">
        <f t="shared" si="66"/>
        <v>0.77272067552270218</v>
      </c>
      <c r="BE12" s="22">
        <f t="shared" si="66"/>
        <v>-0.4509959436749138</v>
      </c>
      <c r="BF12" s="22">
        <f t="shared" si="66"/>
        <v>1.9793296348403704</v>
      </c>
      <c r="BG12" s="22">
        <f t="shared" si="66"/>
        <v>1.7995154066335737</v>
      </c>
      <c r="BH12" s="22">
        <f t="shared" si="66"/>
        <v>2.9338592536933206</v>
      </c>
      <c r="BI12" s="22">
        <f t="shared" si="66"/>
        <v>1.100259167850693</v>
      </c>
      <c r="BJ12" s="22">
        <f t="shared" si="66"/>
        <v>0.9172288664537509</v>
      </c>
      <c r="BK12" s="22">
        <f t="shared" si="66"/>
        <v>-0.48228762305428424</v>
      </c>
      <c r="BL12" s="22">
        <f t="shared" si="66"/>
        <v>-0.21854334588326121</v>
      </c>
      <c r="BM12" s="22">
        <f t="shared" si="66"/>
        <v>-0.4080507828129884</v>
      </c>
      <c r="BN12" s="22">
        <f t="shared" si="66"/>
        <v>0.93162894408207231</v>
      </c>
      <c r="BP12" s="26">
        <f t="shared" si="29"/>
        <v>10</v>
      </c>
      <c r="BQ12" s="22">
        <f>STANDARDIZE(BP12,BP41,BP42)</f>
        <v>1.1514420244718038</v>
      </c>
      <c r="BR12" s="22">
        <f t="shared" si="30"/>
        <v>17</v>
      </c>
      <c r="BS12" s="22">
        <f>STANDARDIZE(BR12,BR41,BR42)</f>
        <v>1.7699521910764278</v>
      </c>
      <c r="BT12" s="22"/>
      <c r="BU12" s="26">
        <f t="shared" si="31"/>
        <v>13</v>
      </c>
      <c r="BV12" s="22">
        <f>STANDARDIZE(BU12,BU41,BU42)</f>
        <v>2.2369020644861948</v>
      </c>
      <c r="BW12" s="22"/>
      <c r="BX12" s="26">
        <f t="shared" si="32"/>
        <v>1</v>
      </c>
      <c r="BY12" s="22">
        <f>STANDARDIZE(BX12,BX41,BX42)</f>
        <v>-0.40342711466999148</v>
      </c>
      <c r="BZ12"/>
      <c r="CA12" s="4" t="str">
        <f t="shared" si="33"/>
        <v>0</v>
      </c>
      <c r="CB12" s="4" t="str">
        <f t="shared" si="34"/>
        <v>1</v>
      </c>
      <c r="CC12" s="4" t="str">
        <f t="shared" si="35"/>
        <v>0</v>
      </c>
      <c r="CD12" s="4">
        <f t="shared" si="36"/>
        <v>1</v>
      </c>
      <c r="CE12" s="4" t="str">
        <f t="shared" si="37"/>
        <v>0</v>
      </c>
      <c r="CF12" s="4" t="str">
        <f t="shared" si="38"/>
        <v>1</v>
      </c>
      <c r="CG12" s="4" t="str">
        <f t="shared" si="39"/>
        <v>0</v>
      </c>
      <c r="CH12" s="4">
        <f t="shared" si="40"/>
        <v>1</v>
      </c>
      <c r="CI12" s="4" t="str">
        <f t="shared" si="41"/>
        <v>0</v>
      </c>
      <c r="CJ12" s="4" t="str">
        <f t="shared" si="42"/>
        <v>0</v>
      </c>
      <c r="CK12" s="4" t="str">
        <f t="shared" si="42"/>
        <v>0</v>
      </c>
      <c r="CL12" s="4">
        <f t="shared" si="43"/>
        <v>0</v>
      </c>
      <c r="CM12" s="4" t="str">
        <f t="shared" si="44"/>
        <v>1</v>
      </c>
      <c r="CN12" s="4" t="str">
        <f t="shared" si="45"/>
        <v>1</v>
      </c>
      <c r="CO12" s="4" t="str">
        <f t="shared" si="46"/>
        <v>1</v>
      </c>
      <c r="CP12" s="4">
        <f t="shared" si="47"/>
        <v>3</v>
      </c>
      <c r="CQ12" s="4" t="str">
        <f t="shared" si="48"/>
        <v>0</v>
      </c>
      <c r="CR12" s="4" t="str">
        <f t="shared" si="49"/>
        <v>1</v>
      </c>
      <c r="CS12" s="4" t="str">
        <f t="shared" si="50"/>
        <v>0</v>
      </c>
      <c r="CT12" s="4" t="str">
        <f t="shared" si="51"/>
        <v>1</v>
      </c>
      <c r="CU12" s="4">
        <f t="shared" si="52"/>
        <v>2</v>
      </c>
    </row>
    <row r="13" spans="1:99" x14ac:dyDescent="0.25">
      <c r="A13">
        <v>10</v>
      </c>
      <c r="C13" s="6">
        <f t="shared" ref="C13:N13" si="67">COUNTIF(C50:C154,10)</f>
        <v>4</v>
      </c>
      <c r="D13" s="6">
        <f t="shared" si="67"/>
        <v>2</v>
      </c>
      <c r="E13" s="7">
        <f t="shared" si="67"/>
        <v>7</v>
      </c>
      <c r="F13" s="23">
        <f t="shared" si="67"/>
        <v>4</v>
      </c>
      <c r="G13" s="24">
        <f t="shared" si="67"/>
        <v>2</v>
      </c>
      <c r="H13" s="7">
        <f t="shared" si="67"/>
        <v>1</v>
      </c>
      <c r="I13" s="23">
        <f t="shared" si="67"/>
        <v>2</v>
      </c>
      <c r="J13" s="24">
        <f t="shared" si="67"/>
        <v>2</v>
      </c>
      <c r="K13" s="10">
        <f t="shared" si="67"/>
        <v>10</v>
      </c>
      <c r="L13" s="10">
        <f t="shared" si="67"/>
        <v>7</v>
      </c>
      <c r="M13" s="10">
        <f t="shared" si="67"/>
        <v>1</v>
      </c>
      <c r="N13" s="6">
        <f t="shared" si="67"/>
        <v>4</v>
      </c>
      <c r="Q13" s="83">
        <f t="shared" si="14"/>
        <v>8</v>
      </c>
      <c r="R13" s="84">
        <f t="shared" si="15"/>
        <v>2</v>
      </c>
      <c r="S13" s="84">
        <f t="shared" si="16"/>
        <v>2</v>
      </c>
      <c r="T13" s="84">
        <f t="shared" si="17"/>
        <v>4</v>
      </c>
      <c r="U13" s="16" t="str">
        <f t="shared" si="1"/>
        <v xml:space="preserve"> </v>
      </c>
      <c r="V13" s="16" t="str">
        <f t="shared" si="2"/>
        <v xml:space="preserve"> </v>
      </c>
      <c r="W13" s="16" t="str">
        <f t="shared" si="3"/>
        <v xml:space="preserve"> </v>
      </c>
      <c r="X13" s="16" t="str">
        <f t="shared" si="4"/>
        <v xml:space="preserve"> </v>
      </c>
      <c r="Z13" s="84">
        <f t="shared" si="18"/>
        <v>3</v>
      </c>
      <c r="AA13" s="62" t="str">
        <f t="shared" si="5"/>
        <v xml:space="preserve"> </v>
      </c>
      <c r="AB13" s="58"/>
      <c r="AC13" s="76" t="str">
        <f t="shared" si="19"/>
        <v xml:space="preserve">10 </v>
      </c>
      <c r="AE13" s="16">
        <f t="shared" si="20"/>
        <v>18</v>
      </c>
      <c r="AF13" s="17">
        <f t="shared" si="21"/>
        <v>10</v>
      </c>
      <c r="AG13" s="17">
        <f t="shared" si="21"/>
        <v>7</v>
      </c>
      <c r="AH13" s="17">
        <f t="shared" si="22"/>
        <v>1</v>
      </c>
      <c r="AI13" s="25" t="str">
        <f t="shared" si="6"/>
        <v>X</v>
      </c>
      <c r="AJ13" s="25" t="str">
        <f t="shared" si="7"/>
        <v>X</v>
      </c>
      <c r="AK13" s="25" t="str">
        <f t="shared" si="7"/>
        <v>X</v>
      </c>
      <c r="AL13" s="16" t="str">
        <f t="shared" si="7"/>
        <v xml:space="preserve"> </v>
      </c>
      <c r="AN13" s="25" t="str">
        <f t="shared" si="8"/>
        <v xml:space="preserve"> </v>
      </c>
      <c r="AO13" s="25" t="str">
        <f t="shared" si="9"/>
        <v xml:space="preserve"> </v>
      </c>
      <c r="AP13" s="25" t="str">
        <f t="shared" si="10"/>
        <v xml:space="preserve"> </v>
      </c>
      <c r="AQ13" s="25" t="str">
        <f t="shared" si="11"/>
        <v xml:space="preserve"> </v>
      </c>
      <c r="AR13" s="25" t="str">
        <f t="shared" si="23"/>
        <v xml:space="preserve"> </v>
      </c>
      <c r="AS13" s="17">
        <f t="shared" si="24"/>
        <v>4</v>
      </c>
      <c r="AT13" s="17">
        <f t="shared" si="25"/>
        <v>2</v>
      </c>
      <c r="AV13" s="22">
        <f>STANDARDIZE(C13,C41,C42)</f>
        <v>1.0488088481701519</v>
      </c>
      <c r="AW13" s="22">
        <f>STANDARDIZE(D13,D41,D42)</f>
        <v>7.0247334138427459E-2</v>
      </c>
      <c r="AX13" s="3">
        <f t="shared" si="26"/>
        <v>6</v>
      </c>
      <c r="AY13" s="3">
        <f t="shared" si="27"/>
        <v>2</v>
      </c>
      <c r="AZ13" s="22">
        <f>STANDARDIZE(AX13,AX41,AX42)</f>
        <v>0.68252623040110161</v>
      </c>
      <c r="BA13" s="22">
        <f>STANDARDIZE(AY13,AY41,AY42)</f>
        <v>0.5623869395420219</v>
      </c>
      <c r="BC13" s="22">
        <f t="shared" ref="BC13:BN13" si="68">STANDARDIZE(C13,C41,C42)</f>
        <v>1.0488088481701519</v>
      </c>
      <c r="BD13" s="22">
        <f t="shared" si="68"/>
        <v>7.0247334138427459E-2</v>
      </c>
      <c r="BE13" s="22">
        <f t="shared" si="68"/>
        <v>1.3028771706164177</v>
      </c>
      <c r="BF13" s="22">
        <f t="shared" si="68"/>
        <v>0.70234277365303466</v>
      </c>
      <c r="BG13" s="22">
        <f t="shared" si="68"/>
        <v>5.8048884084953969E-2</v>
      </c>
      <c r="BH13" s="22">
        <f t="shared" si="68"/>
        <v>-0.2862301710920313</v>
      </c>
      <c r="BI13" s="22">
        <f t="shared" si="68"/>
        <v>6.8766197990668285E-2</v>
      </c>
      <c r="BJ13" s="22">
        <f t="shared" si="68"/>
        <v>8.3384442404886419E-2</v>
      </c>
      <c r="BK13" s="22">
        <f t="shared" si="68"/>
        <v>2.197088060580628</v>
      </c>
      <c r="BL13" s="22">
        <f t="shared" si="68"/>
        <v>1.4205317482411979</v>
      </c>
      <c r="BM13" s="22">
        <f t="shared" si="68"/>
        <v>-0.18135590347243929</v>
      </c>
      <c r="BN13" s="22">
        <f t="shared" si="68"/>
        <v>0.93162894408207231</v>
      </c>
      <c r="BP13" s="26">
        <f t="shared" si="29"/>
        <v>8</v>
      </c>
      <c r="BQ13" s="22">
        <f>STANDARDIZE(BP13,BP41,BP42)</f>
        <v>0.79161639182436505</v>
      </c>
      <c r="BR13" s="22">
        <f t="shared" si="30"/>
        <v>8</v>
      </c>
      <c r="BS13" s="22">
        <f>STANDARDIZE(BR13,BR41,BR42)</f>
        <v>0.39671342213781996</v>
      </c>
      <c r="BT13" s="22"/>
      <c r="BU13" s="26">
        <f t="shared" si="31"/>
        <v>6</v>
      </c>
      <c r="BV13" s="22">
        <f>STANDARDIZE(BU13,BU41,BU42)</f>
        <v>0.57112393135817729</v>
      </c>
      <c r="BW13" s="22"/>
      <c r="BX13" s="26">
        <f t="shared" si="32"/>
        <v>18</v>
      </c>
      <c r="BY13" s="22">
        <f>STANDARDIZE(BX13,BX41,BX42)</f>
        <v>1.1552685556458846</v>
      </c>
      <c r="BZ13"/>
      <c r="CA13" s="4" t="str">
        <f t="shared" si="33"/>
        <v>0</v>
      </c>
      <c r="CB13" s="4" t="str">
        <f t="shared" si="34"/>
        <v>1</v>
      </c>
      <c r="CC13" s="4" t="str">
        <f t="shared" si="35"/>
        <v>0</v>
      </c>
      <c r="CD13" s="4">
        <f t="shared" si="36"/>
        <v>1</v>
      </c>
      <c r="CE13" s="4" t="str">
        <f t="shared" si="37"/>
        <v>0</v>
      </c>
      <c r="CF13" s="4" t="str">
        <f t="shared" si="38"/>
        <v>1</v>
      </c>
      <c r="CG13" s="4" t="str">
        <f t="shared" si="39"/>
        <v>0</v>
      </c>
      <c r="CH13" s="4">
        <f t="shared" si="40"/>
        <v>1</v>
      </c>
      <c r="CI13" s="4" t="str">
        <f t="shared" si="41"/>
        <v>0</v>
      </c>
      <c r="CJ13" s="4" t="str">
        <f t="shared" si="42"/>
        <v>0</v>
      </c>
      <c r="CK13" s="4" t="str">
        <f t="shared" si="42"/>
        <v>0</v>
      </c>
      <c r="CL13" s="4">
        <f t="shared" si="43"/>
        <v>0</v>
      </c>
      <c r="CM13" s="4" t="str">
        <f t="shared" si="44"/>
        <v>0</v>
      </c>
      <c r="CN13" s="4" t="str">
        <f t="shared" si="45"/>
        <v>1</v>
      </c>
      <c r="CO13" s="4" t="str">
        <f t="shared" si="46"/>
        <v>1</v>
      </c>
      <c r="CP13" s="4">
        <f t="shared" si="47"/>
        <v>2</v>
      </c>
      <c r="CQ13" s="4" t="str">
        <f t="shared" si="48"/>
        <v>0</v>
      </c>
      <c r="CR13" s="4" t="str">
        <f t="shared" si="49"/>
        <v>1</v>
      </c>
      <c r="CS13" s="4" t="str">
        <f t="shared" si="50"/>
        <v>0</v>
      </c>
      <c r="CT13" s="4" t="str">
        <f t="shared" si="51"/>
        <v>0</v>
      </c>
      <c r="CU13" s="4">
        <f t="shared" si="52"/>
        <v>1</v>
      </c>
    </row>
    <row r="14" spans="1:99" x14ac:dyDescent="0.25">
      <c r="A14">
        <v>11</v>
      </c>
      <c r="C14" s="6">
        <f t="shared" ref="C14:N14" si="69">COUNTIF(C50:C154,11)</f>
        <v>6</v>
      </c>
      <c r="D14" s="6">
        <f t="shared" si="69"/>
        <v>0</v>
      </c>
      <c r="E14" s="7">
        <f t="shared" si="69"/>
        <v>4</v>
      </c>
      <c r="F14" s="23">
        <f t="shared" si="69"/>
        <v>1</v>
      </c>
      <c r="G14" s="24">
        <f t="shared" si="69"/>
        <v>1</v>
      </c>
      <c r="H14" s="7">
        <f t="shared" si="69"/>
        <v>0</v>
      </c>
      <c r="I14" s="23">
        <f t="shared" si="69"/>
        <v>7</v>
      </c>
      <c r="J14" s="24">
        <f t="shared" si="69"/>
        <v>9</v>
      </c>
      <c r="K14" s="10">
        <f t="shared" si="69"/>
        <v>3</v>
      </c>
      <c r="L14" s="10">
        <f t="shared" si="69"/>
        <v>1</v>
      </c>
      <c r="M14" s="10">
        <f t="shared" si="69"/>
        <v>0</v>
      </c>
      <c r="N14" s="6">
        <f t="shared" si="69"/>
        <v>8</v>
      </c>
      <c r="Q14" s="83">
        <f t="shared" si="14"/>
        <v>12</v>
      </c>
      <c r="R14" s="84">
        <f t="shared" si="15"/>
        <v>1</v>
      </c>
      <c r="S14" s="84">
        <f t="shared" si="16"/>
        <v>9</v>
      </c>
      <c r="T14" s="84">
        <f t="shared" si="17"/>
        <v>2</v>
      </c>
      <c r="U14" s="16" t="str">
        <f t="shared" si="1"/>
        <v>X</v>
      </c>
      <c r="V14" s="16" t="str">
        <f t="shared" si="2"/>
        <v xml:space="preserve"> </v>
      </c>
      <c r="W14" s="16" t="str">
        <f t="shared" si="3"/>
        <v>X</v>
      </c>
      <c r="X14" s="16" t="str">
        <f t="shared" si="4"/>
        <v xml:space="preserve"> </v>
      </c>
      <c r="Z14" s="84">
        <f t="shared" si="18"/>
        <v>4</v>
      </c>
      <c r="AA14" s="62" t="str">
        <f t="shared" si="5"/>
        <v>X</v>
      </c>
      <c r="AB14" s="58"/>
      <c r="AC14" s="76" t="str">
        <f t="shared" si="19"/>
        <v xml:space="preserve">11 </v>
      </c>
      <c r="AE14" s="16">
        <f t="shared" si="20"/>
        <v>4</v>
      </c>
      <c r="AF14" s="17">
        <f t="shared" si="21"/>
        <v>3</v>
      </c>
      <c r="AG14" s="17">
        <f t="shared" si="21"/>
        <v>1</v>
      </c>
      <c r="AH14" s="17">
        <f t="shared" si="22"/>
        <v>0</v>
      </c>
      <c r="AI14" s="25" t="str">
        <f t="shared" si="6"/>
        <v xml:space="preserve"> </v>
      </c>
      <c r="AJ14" s="25" t="str">
        <f t="shared" si="7"/>
        <v xml:space="preserve"> </v>
      </c>
      <c r="AK14" s="25" t="str">
        <f t="shared" si="7"/>
        <v xml:space="preserve"> </v>
      </c>
      <c r="AL14" s="16" t="str">
        <f t="shared" si="7"/>
        <v xml:space="preserve"> </v>
      </c>
      <c r="AN14" s="25" t="str">
        <f t="shared" si="8"/>
        <v>X</v>
      </c>
      <c r="AO14" s="25" t="str">
        <f t="shared" si="9"/>
        <v xml:space="preserve"> </v>
      </c>
      <c r="AP14" s="25" t="str">
        <f t="shared" si="10"/>
        <v xml:space="preserve"> </v>
      </c>
      <c r="AQ14" s="25" t="str">
        <f t="shared" si="11"/>
        <v xml:space="preserve"> </v>
      </c>
      <c r="AR14" s="25" t="str">
        <f t="shared" si="23"/>
        <v xml:space="preserve"> </v>
      </c>
      <c r="AS14" s="17">
        <f t="shared" si="24"/>
        <v>6</v>
      </c>
      <c r="AT14" s="17">
        <f t="shared" si="25"/>
        <v>0</v>
      </c>
      <c r="AV14" s="22">
        <f>STANDARDIZE(C14,C41,C42)</f>
        <v>2.0022714374157444</v>
      </c>
      <c r="AW14" s="22">
        <f>STANDARDIZE(D14,D41,D42)</f>
        <v>-0.63222600724584721</v>
      </c>
      <c r="AX14" s="3">
        <f t="shared" si="26"/>
        <v>6</v>
      </c>
      <c r="AY14" s="3">
        <f t="shared" si="27"/>
        <v>6</v>
      </c>
      <c r="AZ14" s="22">
        <f>STANDARDIZE(AX14,AX41,AX42)</f>
        <v>0.68252623040110161</v>
      </c>
      <c r="BA14" s="22">
        <f>STANDARDIZE(AY14,AY41,AY42)</f>
        <v>1.6871608186260658</v>
      </c>
      <c r="BC14" s="22">
        <f t="shared" ref="BC14:BN14" si="70">STANDARDIZE(C14,C41,C42)</f>
        <v>2.0022714374157444</v>
      </c>
      <c r="BD14" s="22">
        <f t="shared" si="70"/>
        <v>-0.63222600724584721</v>
      </c>
      <c r="BE14" s="22">
        <f t="shared" si="70"/>
        <v>0.55121726449156139</v>
      </c>
      <c r="BF14" s="22">
        <f t="shared" si="70"/>
        <v>-0.25539737223746717</v>
      </c>
      <c r="BG14" s="22">
        <f t="shared" si="70"/>
        <v>-0.23219553633981596</v>
      </c>
      <c r="BH14" s="22">
        <f t="shared" si="70"/>
        <v>-0.64401788495707035</v>
      </c>
      <c r="BI14" s="22">
        <f t="shared" si="70"/>
        <v>1.787921147757376</v>
      </c>
      <c r="BJ14" s="22">
        <f t="shared" si="70"/>
        <v>3.0018399265759119</v>
      </c>
      <c r="BK14" s="22">
        <f t="shared" si="70"/>
        <v>0.32152508203618946</v>
      </c>
      <c r="BL14" s="22">
        <f t="shared" si="70"/>
        <v>-0.21854334588326121</v>
      </c>
      <c r="BM14" s="22">
        <f t="shared" si="70"/>
        <v>-0.4080507828129884</v>
      </c>
      <c r="BN14" s="22">
        <f t="shared" si="70"/>
        <v>2.6254997515040217</v>
      </c>
      <c r="BP14" s="26">
        <f t="shared" si="29"/>
        <v>4</v>
      </c>
      <c r="BQ14" s="22">
        <f>STANDARDIZE(BP14,BP41,BP42)</f>
        <v>7.1965126529487708E-2</v>
      </c>
      <c r="BR14" s="22">
        <f t="shared" si="30"/>
        <v>12</v>
      </c>
      <c r="BS14" s="22">
        <f>STANDARDIZE(BR14,BR41,BR42)</f>
        <v>1.0070417638883122</v>
      </c>
      <c r="BT14" s="22"/>
      <c r="BU14" s="26">
        <f t="shared" si="31"/>
        <v>8</v>
      </c>
      <c r="BV14" s="22">
        <f>STANDARDIZE(BU14,BU41,BU42)</f>
        <v>1.0470605408233251</v>
      </c>
      <c r="BW14" s="22"/>
      <c r="BX14" s="26">
        <f t="shared" si="32"/>
        <v>4</v>
      </c>
      <c r="BY14" s="22">
        <f>STANDARDIZE(BX14,BX41,BX42)</f>
        <v>-0.12836317284954277</v>
      </c>
      <c r="BZ14"/>
      <c r="CA14" s="4" t="str">
        <f t="shared" si="33"/>
        <v>1</v>
      </c>
      <c r="CB14" s="4" t="str">
        <f t="shared" si="34"/>
        <v>1</v>
      </c>
      <c r="CC14" s="4" t="str">
        <f t="shared" si="35"/>
        <v>1</v>
      </c>
      <c r="CD14" s="4">
        <f t="shared" si="36"/>
        <v>3</v>
      </c>
      <c r="CE14" s="4" t="str">
        <f t="shared" si="37"/>
        <v>0</v>
      </c>
      <c r="CF14" s="4" t="str">
        <f t="shared" si="38"/>
        <v>0</v>
      </c>
      <c r="CG14" s="4" t="str">
        <f t="shared" si="39"/>
        <v>0</v>
      </c>
      <c r="CH14" s="4">
        <f t="shared" si="40"/>
        <v>0</v>
      </c>
      <c r="CI14" s="4" t="str">
        <f t="shared" si="41"/>
        <v>0</v>
      </c>
      <c r="CJ14" s="4" t="str">
        <f t="shared" si="42"/>
        <v>0</v>
      </c>
      <c r="CK14" s="4" t="str">
        <f t="shared" si="42"/>
        <v>1</v>
      </c>
      <c r="CL14" s="4">
        <f t="shared" si="43"/>
        <v>1</v>
      </c>
      <c r="CM14" s="4" t="str">
        <f t="shared" si="44"/>
        <v>0</v>
      </c>
      <c r="CN14" s="4" t="str">
        <f t="shared" si="45"/>
        <v>0</v>
      </c>
      <c r="CO14" s="4" t="str">
        <f t="shared" si="46"/>
        <v>1</v>
      </c>
      <c r="CP14" s="4">
        <f t="shared" si="47"/>
        <v>1</v>
      </c>
      <c r="CQ14" s="4" t="str">
        <f t="shared" si="48"/>
        <v>0</v>
      </c>
      <c r="CR14" s="4" t="str">
        <f t="shared" si="49"/>
        <v>1</v>
      </c>
      <c r="CS14" s="4" t="str">
        <f t="shared" si="50"/>
        <v>1</v>
      </c>
      <c r="CT14" s="4" t="str">
        <f t="shared" si="51"/>
        <v>0</v>
      </c>
      <c r="CU14" s="4">
        <f t="shared" si="52"/>
        <v>2</v>
      </c>
    </row>
    <row r="15" spans="1:99" x14ac:dyDescent="0.25">
      <c r="A15">
        <v>12</v>
      </c>
      <c r="C15" s="6">
        <f t="shared" ref="C15:N15" si="71">COUNTIF(C50:C154,12)</f>
        <v>3</v>
      </c>
      <c r="D15" s="6">
        <f t="shared" si="71"/>
        <v>2</v>
      </c>
      <c r="E15" s="7">
        <f t="shared" si="71"/>
        <v>0</v>
      </c>
      <c r="F15" s="23">
        <f t="shared" si="71"/>
        <v>0</v>
      </c>
      <c r="G15" s="24">
        <f t="shared" si="71"/>
        <v>0</v>
      </c>
      <c r="H15" s="7">
        <f t="shared" si="71"/>
        <v>2</v>
      </c>
      <c r="I15" s="23">
        <f t="shared" si="71"/>
        <v>2</v>
      </c>
      <c r="J15" s="24">
        <f t="shared" si="71"/>
        <v>2</v>
      </c>
      <c r="K15" s="10">
        <f t="shared" si="71"/>
        <v>0</v>
      </c>
      <c r="L15" s="10">
        <f t="shared" si="71"/>
        <v>0</v>
      </c>
      <c r="M15" s="10">
        <f t="shared" si="71"/>
        <v>0</v>
      </c>
      <c r="N15" s="6">
        <f t="shared" si="71"/>
        <v>4</v>
      </c>
      <c r="Q15" s="83">
        <f t="shared" si="14"/>
        <v>3</v>
      </c>
      <c r="R15" s="84">
        <f t="shared" si="15"/>
        <v>0</v>
      </c>
      <c r="S15" s="84">
        <f t="shared" si="16"/>
        <v>2</v>
      </c>
      <c r="T15" s="84">
        <f t="shared" si="17"/>
        <v>1</v>
      </c>
      <c r="U15" s="16" t="str">
        <f t="shared" si="1"/>
        <v xml:space="preserve"> </v>
      </c>
      <c r="V15" s="16" t="str">
        <f t="shared" si="2"/>
        <v xml:space="preserve"> </v>
      </c>
      <c r="W15" s="16" t="str">
        <f t="shared" si="3"/>
        <v xml:space="preserve"> </v>
      </c>
      <c r="X15" s="16" t="str">
        <f t="shared" si="4"/>
        <v xml:space="preserve"> </v>
      </c>
      <c r="Z15" s="84">
        <f t="shared" si="18"/>
        <v>1</v>
      </c>
      <c r="AA15" s="62" t="str">
        <f t="shared" si="5"/>
        <v xml:space="preserve"> </v>
      </c>
      <c r="AB15" s="58"/>
      <c r="AC15" s="76" t="str">
        <f t="shared" si="19"/>
        <v xml:space="preserve">12 </v>
      </c>
      <c r="AE15" s="16">
        <f t="shared" si="20"/>
        <v>0</v>
      </c>
      <c r="AF15" s="17">
        <f t="shared" si="21"/>
        <v>0</v>
      </c>
      <c r="AG15" s="17">
        <f t="shared" si="21"/>
        <v>0</v>
      </c>
      <c r="AH15" s="17">
        <f t="shared" si="22"/>
        <v>0</v>
      </c>
      <c r="AI15" s="25" t="str">
        <f t="shared" si="6"/>
        <v xml:space="preserve"> </v>
      </c>
      <c r="AJ15" s="25" t="str">
        <f t="shared" si="7"/>
        <v xml:space="preserve"> </v>
      </c>
      <c r="AK15" s="25" t="str">
        <f t="shared" si="7"/>
        <v xml:space="preserve"> </v>
      </c>
      <c r="AL15" s="16" t="str">
        <f t="shared" si="7"/>
        <v xml:space="preserve"> </v>
      </c>
      <c r="AN15" s="25" t="str">
        <f t="shared" si="8"/>
        <v xml:space="preserve"> </v>
      </c>
      <c r="AO15" s="25" t="str">
        <f t="shared" si="9"/>
        <v xml:space="preserve"> </v>
      </c>
      <c r="AP15" s="25" t="str">
        <f t="shared" si="10"/>
        <v xml:space="preserve"> </v>
      </c>
      <c r="AQ15" s="25" t="str">
        <f t="shared" si="11"/>
        <v xml:space="preserve"> </v>
      </c>
      <c r="AR15" s="25" t="str">
        <f t="shared" si="23"/>
        <v xml:space="preserve"> </v>
      </c>
      <c r="AS15" s="17">
        <f t="shared" si="24"/>
        <v>3</v>
      </c>
      <c r="AT15" s="17">
        <f t="shared" si="25"/>
        <v>2</v>
      </c>
      <c r="AV15" s="22">
        <f>STANDARDIZE(C15,C41,C42)</f>
        <v>0.57207755354735546</v>
      </c>
      <c r="AW15" s="22">
        <f>STANDARDIZE(D15,D41,D42)</f>
        <v>7.0247334138427459E-2</v>
      </c>
      <c r="AX15" s="3">
        <f t="shared" si="26"/>
        <v>5</v>
      </c>
      <c r="AY15" s="3">
        <f t="shared" si="27"/>
        <v>1</v>
      </c>
      <c r="AZ15" s="22">
        <f>STANDARDIZE(AX15,AX41,AX42)</f>
        <v>0.39814030106730924</v>
      </c>
      <c r="BA15" s="22">
        <f>STANDARDIZE(AY15,AY41,AY42)</f>
        <v>0.28119346977101095</v>
      </c>
      <c r="BC15" s="22">
        <f t="shared" ref="BC15:BN15" si="72">STANDARDIZE(C15,C41,C42)</f>
        <v>0.57207755354735546</v>
      </c>
      <c r="BD15" s="22">
        <f t="shared" si="72"/>
        <v>7.0247334138427459E-2</v>
      </c>
      <c r="BE15" s="22">
        <f t="shared" si="72"/>
        <v>-0.4509959436749138</v>
      </c>
      <c r="BF15" s="22">
        <f t="shared" si="72"/>
        <v>-0.57464408753430107</v>
      </c>
      <c r="BG15" s="22">
        <f t="shared" si="72"/>
        <v>-0.52243995676458588</v>
      </c>
      <c r="BH15" s="22">
        <f t="shared" si="72"/>
        <v>7.1557542773007798E-2</v>
      </c>
      <c r="BI15" s="22">
        <f t="shared" si="72"/>
        <v>6.8766197990668285E-2</v>
      </c>
      <c r="BJ15" s="22">
        <f t="shared" si="72"/>
        <v>8.3384442404886419E-2</v>
      </c>
      <c r="BK15" s="22">
        <f t="shared" si="72"/>
        <v>-0.48228762305428424</v>
      </c>
      <c r="BL15" s="22">
        <f t="shared" si="72"/>
        <v>-0.49172252823733775</v>
      </c>
      <c r="BM15" s="22">
        <f t="shared" si="72"/>
        <v>-0.4080507828129884</v>
      </c>
      <c r="BN15" s="22">
        <f t="shared" si="72"/>
        <v>0.93162894408207231</v>
      </c>
      <c r="BP15" s="26">
        <f t="shared" si="29"/>
        <v>2</v>
      </c>
      <c r="BQ15" s="22">
        <f>STANDARDIZE(BP15,BP41,BP42)</f>
        <v>-0.28786050611795094</v>
      </c>
      <c r="BR15" s="22">
        <f t="shared" si="30"/>
        <v>3</v>
      </c>
      <c r="BS15" s="22">
        <f>STANDARDIZE(BR15,BR41,BR42)</f>
        <v>-0.36619700505029545</v>
      </c>
      <c r="BT15" s="22"/>
      <c r="BU15" s="26">
        <f t="shared" si="31"/>
        <v>2</v>
      </c>
      <c r="BV15" s="22">
        <f>STANDARDIZE(BU15,BU41,BU42)</f>
        <v>-0.38074928757211823</v>
      </c>
      <c r="BW15" s="22"/>
      <c r="BX15" s="26">
        <f t="shared" si="32"/>
        <v>0</v>
      </c>
      <c r="BY15" s="22">
        <f>STANDARDIZE(BX15,BX41,BX42)</f>
        <v>-0.49511509527680769</v>
      </c>
      <c r="BZ15"/>
      <c r="CA15" s="4" t="str">
        <f t="shared" si="33"/>
        <v>0</v>
      </c>
      <c r="CB15" s="4" t="str">
        <f t="shared" si="34"/>
        <v>1</v>
      </c>
      <c r="CC15" s="4" t="str">
        <f t="shared" si="35"/>
        <v>0</v>
      </c>
      <c r="CD15" s="4">
        <f t="shared" si="36"/>
        <v>1</v>
      </c>
      <c r="CE15" s="4" t="str">
        <f t="shared" si="37"/>
        <v>0</v>
      </c>
      <c r="CF15" s="4" t="str">
        <f t="shared" si="38"/>
        <v>1</v>
      </c>
      <c r="CG15" s="4" t="str">
        <f t="shared" si="39"/>
        <v>0</v>
      </c>
      <c r="CH15" s="4">
        <f t="shared" si="40"/>
        <v>1</v>
      </c>
      <c r="CI15" s="4" t="str">
        <f t="shared" si="41"/>
        <v>0</v>
      </c>
      <c r="CJ15" s="4" t="str">
        <f t="shared" si="42"/>
        <v>0</v>
      </c>
      <c r="CK15" s="4" t="str">
        <f t="shared" si="42"/>
        <v>0</v>
      </c>
      <c r="CL15" s="4">
        <f t="shared" si="43"/>
        <v>0</v>
      </c>
      <c r="CM15" s="4" t="str">
        <f t="shared" si="44"/>
        <v>0</v>
      </c>
      <c r="CN15" s="4" t="str">
        <f t="shared" si="45"/>
        <v>1</v>
      </c>
      <c r="CO15" s="4" t="str">
        <f t="shared" si="46"/>
        <v>1</v>
      </c>
      <c r="CP15" s="4">
        <f t="shared" si="47"/>
        <v>2</v>
      </c>
      <c r="CQ15" s="4" t="str">
        <f t="shared" si="48"/>
        <v>0</v>
      </c>
      <c r="CR15" s="4" t="str">
        <f t="shared" si="49"/>
        <v>1</v>
      </c>
      <c r="CS15" s="4" t="str">
        <f t="shared" si="50"/>
        <v>0</v>
      </c>
      <c r="CT15" s="4" t="str">
        <f t="shared" si="51"/>
        <v>0</v>
      </c>
      <c r="CU15" s="4">
        <f t="shared" si="52"/>
        <v>1</v>
      </c>
    </row>
    <row r="16" spans="1:99" x14ac:dyDescent="0.25">
      <c r="A16">
        <v>13</v>
      </c>
      <c r="C16" s="6">
        <f t="shared" ref="C16:N16" si="73">COUNTIF(C50:C154,13)</f>
        <v>4</v>
      </c>
      <c r="D16" s="6">
        <f t="shared" si="73"/>
        <v>0</v>
      </c>
      <c r="E16" s="7">
        <f t="shared" si="73"/>
        <v>1</v>
      </c>
      <c r="F16" s="23">
        <f t="shared" si="73"/>
        <v>0</v>
      </c>
      <c r="G16" s="24">
        <f t="shared" si="73"/>
        <v>0</v>
      </c>
      <c r="H16" s="7">
        <f t="shared" si="73"/>
        <v>1</v>
      </c>
      <c r="I16" s="23">
        <f t="shared" si="73"/>
        <v>2</v>
      </c>
      <c r="J16" s="24">
        <f t="shared" si="73"/>
        <v>4</v>
      </c>
      <c r="K16" s="10">
        <f t="shared" si="73"/>
        <v>0</v>
      </c>
      <c r="L16" s="10">
        <f t="shared" si="73"/>
        <v>0</v>
      </c>
      <c r="M16" s="10">
        <f t="shared" si="73"/>
        <v>1</v>
      </c>
      <c r="N16" s="6">
        <f t="shared" si="73"/>
        <v>2</v>
      </c>
      <c r="Q16" s="83">
        <f t="shared" si="14"/>
        <v>5</v>
      </c>
      <c r="R16" s="84">
        <f t="shared" si="15"/>
        <v>0</v>
      </c>
      <c r="S16" s="84">
        <f t="shared" si="16"/>
        <v>4</v>
      </c>
      <c r="T16" s="84">
        <f t="shared" si="17"/>
        <v>1</v>
      </c>
      <c r="U16" s="16" t="str">
        <f t="shared" si="1"/>
        <v xml:space="preserve"> </v>
      </c>
      <c r="V16" s="16" t="str">
        <f t="shared" si="2"/>
        <v xml:space="preserve"> </v>
      </c>
      <c r="W16" s="16" t="str">
        <f t="shared" si="3"/>
        <v xml:space="preserve"> </v>
      </c>
      <c r="X16" s="16" t="str">
        <f t="shared" si="4"/>
        <v xml:space="preserve"> </v>
      </c>
      <c r="Z16" s="84">
        <f t="shared" si="18"/>
        <v>1</v>
      </c>
      <c r="AA16" s="62" t="str">
        <f t="shared" si="5"/>
        <v xml:space="preserve"> </v>
      </c>
      <c r="AB16" s="58"/>
      <c r="AC16" s="76" t="str">
        <f t="shared" si="19"/>
        <v xml:space="preserve">13 </v>
      </c>
      <c r="AE16" s="16">
        <f t="shared" si="20"/>
        <v>1</v>
      </c>
      <c r="AF16" s="17">
        <f t="shared" si="21"/>
        <v>0</v>
      </c>
      <c r="AG16" s="17">
        <f t="shared" si="21"/>
        <v>0</v>
      </c>
      <c r="AH16" s="17">
        <f t="shared" si="22"/>
        <v>1</v>
      </c>
      <c r="AI16" s="25" t="str">
        <f t="shared" si="6"/>
        <v xml:space="preserve"> </v>
      </c>
      <c r="AJ16" s="25" t="str">
        <f t="shared" si="7"/>
        <v xml:space="preserve"> </v>
      </c>
      <c r="AK16" s="25" t="str">
        <f t="shared" si="7"/>
        <v xml:space="preserve"> </v>
      </c>
      <c r="AL16" s="16" t="str">
        <f t="shared" si="7"/>
        <v xml:space="preserve"> </v>
      </c>
      <c r="AN16" s="25" t="str">
        <f t="shared" si="8"/>
        <v>X</v>
      </c>
      <c r="AO16" s="25" t="str">
        <f t="shared" si="9"/>
        <v xml:space="preserve"> </v>
      </c>
      <c r="AP16" s="25" t="str">
        <f t="shared" si="10"/>
        <v xml:space="preserve"> </v>
      </c>
      <c r="AQ16" s="25" t="str">
        <f t="shared" si="11"/>
        <v xml:space="preserve"> </v>
      </c>
      <c r="AR16" s="25" t="str">
        <f t="shared" si="23"/>
        <v xml:space="preserve"> </v>
      </c>
      <c r="AS16" s="17">
        <f t="shared" si="24"/>
        <v>4</v>
      </c>
      <c r="AT16" s="17">
        <f t="shared" si="25"/>
        <v>0</v>
      </c>
      <c r="AV16" s="22">
        <f>STANDARDIZE(C16,C41,C42)</f>
        <v>1.0488088481701519</v>
      </c>
      <c r="AW16" s="22">
        <f>STANDARDIZE(D16,D41,D42)</f>
        <v>-0.63222600724584721</v>
      </c>
      <c r="AX16" s="3">
        <f t="shared" si="26"/>
        <v>4</v>
      </c>
      <c r="AY16" s="3">
        <f t="shared" si="27"/>
        <v>4</v>
      </c>
      <c r="AZ16" s="22">
        <f>STANDARDIZE(AX16,AX41,AX42)</f>
        <v>0.11375437173351691</v>
      </c>
      <c r="BA16" s="22">
        <f>STANDARDIZE(AY16,AY41,AY42)</f>
        <v>1.1247738790840438</v>
      </c>
      <c r="BC16" s="22">
        <f t="shared" ref="BC16:BN16" si="74">STANDARDIZE(C16,C41,C42)</f>
        <v>1.0488088481701519</v>
      </c>
      <c r="BD16" s="22">
        <f t="shared" si="74"/>
        <v>-0.63222600724584721</v>
      </c>
      <c r="BE16" s="22">
        <f t="shared" si="74"/>
        <v>-0.20044264163329503</v>
      </c>
      <c r="BF16" s="22">
        <f t="shared" si="74"/>
        <v>-0.57464408753430107</v>
      </c>
      <c r="BG16" s="22">
        <f t="shared" si="74"/>
        <v>-0.52243995676458588</v>
      </c>
      <c r="BH16" s="22">
        <f t="shared" si="74"/>
        <v>-0.2862301710920313</v>
      </c>
      <c r="BI16" s="22">
        <f t="shared" si="74"/>
        <v>6.8766197990668285E-2</v>
      </c>
      <c r="BJ16" s="22">
        <f t="shared" si="74"/>
        <v>0.9172288664537509</v>
      </c>
      <c r="BK16" s="22">
        <f t="shared" si="74"/>
        <v>-0.48228762305428424</v>
      </c>
      <c r="BL16" s="22">
        <f t="shared" si="74"/>
        <v>-0.49172252823733775</v>
      </c>
      <c r="BM16" s="22">
        <f t="shared" si="74"/>
        <v>-0.18135590347243929</v>
      </c>
      <c r="BN16" s="22">
        <f t="shared" si="74"/>
        <v>8.4693540371097456E-2</v>
      </c>
      <c r="BP16" s="26">
        <f t="shared" si="29"/>
        <v>2</v>
      </c>
      <c r="BQ16" s="22">
        <f>STANDARDIZE(BP16,BP41,BP42)</f>
        <v>-0.28786050611795094</v>
      </c>
      <c r="BR16" s="22">
        <f t="shared" si="30"/>
        <v>5</v>
      </c>
      <c r="BS16" s="22">
        <f>STANDARDIZE(BR16,BR41,BR42)</f>
        <v>-6.1032834175049289E-2</v>
      </c>
      <c r="BT16" s="22"/>
      <c r="BU16" s="26">
        <f t="shared" si="31"/>
        <v>2</v>
      </c>
      <c r="BV16" s="22">
        <f>STANDARDIZE(BU16,BU41,BU42)</f>
        <v>-0.38074928757211823</v>
      </c>
      <c r="BW16" s="22"/>
      <c r="BX16" s="26">
        <f t="shared" si="32"/>
        <v>1</v>
      </c>
      <c r="BY16" s="22">
        <f>STANDARDIZE(BX16,BX41,BX42)</f>
        <v>-0.40342711466999148</v>
      </c>
      <c r="BZ16"/>
      <c r="CA16" s="4" t="str">
        <f t="shared" si="33"/>
        <v>1</v>
      </c>
      <c r="CB16" s="4" t="str">
        <f t="shared" si="34"/>
        <v>1</v>
      </c>
      <c r="CC16" s="4" t="str">
        <f t="shared" si="35"/>
        <v>1</v>
      </c>
      <c r="CD16" s="4">
        <f t="shared" si="36"/>
        <v>3</v>
      </c>
      <c r="CE16" s="4" t="str">
        <f t="shared" si="37"/>
        <v>0</v>
      </c>
      <c r="CF16" s="4" t="str">
        <f t="shared" si="38"/>
        <v>0</v>
      </c>
      <c r="CG16" s="4" t="str">
        <f t="shared" si="39"/>
        <v>0</v>
      </c>
      <c r="CH16" s="4">
        <f t="shared" si="40"/>
        <v>0</v>
      </c>
      <c r="CI16" s="4" t="str">
        <f t="shared" si="41"/>
        <v>0</v>
      </c>
      <c r="CJ16" s="4" t="str">
        <f t="shared" si="42"/>
        <v>0</v>
      </c>
      <c r="CK16" s="4" t="str">
        <f t="shared" si="42"/>
        <v>1</v>
      </c>
      <c r="CL16" s="4">
        <f t="shared" si="43"/>
        <v>1</v>
      </c>
      <c r="CM16" s="4" t="str">
        <f t="shared" si="44"/>
        <v>0</v>
      </c>
      <c r="CN16" s="4" t="str">
        <f t="shared" si="45"/>
        <v>0</v>
      </c>
      <c r="CO16" s="4" t="str">
        <f t="shared" si="46"/>
        <v>1</v>
      </c>
      <c r="CP16" s="4">
        <f t="shared" si="47"/>
        <v>1</v>
      </c>
      <c r="CQ16" s="4" t="str">
        <f t="shared" si="48"/>
        <v>0</v>
      </c>
      <c r="CR16" s="4" t="str">
        <f t="shared" si="49"/>
        <v>1</v>
      </c>
      <c r="CS16" s="4" t="str">
        <f t="shared" si="50"/>
        <v>1</v>
      </c>
      <c r="CT16" s="4" t="str">
        <f t="shared" si="51"/>
        <v>0</v>
      </c>
      <c r="CU16" s="4">
        <f t="shared" si="52"/>
        <v>2</v>
      </c>
    </row>
    <row r="17" spans="1:99" x14ac:dyDescent="0.25">
      <c r="A17">
        <v>14</v>
      </c>
      <c r="C17" s="6">
        <f t="shared" ref="C17:N17" si="75">COUNTIF(C50:C154,14)</f>
        <v>1</v>
      </c>
      <c r="D17" s="6">
        <f t="shared" si="75"/>
        <v>6</v>
      </c>
      <c r="E17" s="7">
        <f t="shared" si="75"/>
        <v>0</v>
      </c>
      <c r="F17" s="23">
        <f t="shared" si="75"/>
        <v>0</v>
      </c>
      <c r="G17" s="24">
        <f t="shared" si="75"/>
        <v>1</v>
      </c>
      <c r="H17" s="7">
        <f t="shared" si="75"/>
        <v>0</v>
      </c>
      <c r="I17" s="23">
        <f t="shared" si="75"/>
        <v>5</v>
      </c>
      <c r="J17" s="24">
        <f t="shared" si="75"/>
        <v>7</v>
      </c>
      <c r="K17" s="10">
        <f t="shared" si="75"/>
        <v>1</v>
      </c>
      <c r="L17" s="10">
        <f t="shared" si="75"/>
        <v>2</v>
      </c>
      <c r="M17" s="10">
        <f t="shared" si="75"/>
        <v>9</v>
      </c>
      <c r="N17" s="6">
        <f t="shared" si="75"/>
        <v>0</v>
      </c>
      <c r="Q17" s="83">
        <f t="shared" si="14"/>
        <v>8</v>
      </c>
      <c r="R17" s="84">
        <f t="shared" si="15"/>
        <v>1</v>
      </c>
      <c r="S17" s="84">
        <f t="shared" si="16"/>
        <v>7</v>
      </c>
      <c r="T17" s="84">
        <f t="shared" si="17"/>
        <v>0</v>
      </c>
      <c r="U17" s="16" t="str">
        <f t="shared" si="1"/>
        <v xml:space="preserve"> </v>
      </c>
      <c r="V17" s="16" t="str">
        <f t="shared" si="2"/>
        <v xml:space="preserve"> </v>
      </c>
      <c r="W17" s="16" t="str">
        <f t="shared" si="3"/>
        <v>X</v>
      </c>
      <c r="X17" s="16" t="str">
        <f t="shared" si="4"/>
        <v xml:space="preserve"> </v>
      </c>
      <c r="Z17" s="84">
        <f t="shared" si="18"/>
        <v>2.5</v>
      </c>
      <c r="AA17" s="62" t="str">
        <f t="shared" si="5"/>
        <v xml:space="preserve"> </v>
      </c>
      <c r="AB17" s="58"/>
      <c r="AC17" s="76" t="str">
        <f t="shared" si="19"/>
        <v xml:space="preserve">14 </v>
      </c>
      <c r="AE17" s="16">
        <f t="shared" si="20"/>
        <v>12</v>
      </c>
      <c r="AF17" s="17">
        <f t="shared" si="21"/>
        <v>1</v>
      </c>
      <c r="AG17" s="17">
        <f t="shared" si="21"/>
        <v>2</v>
      </c>
      <c r="AH17" s="17">
        <f t="shared" si="22"/>
        <v>9</v>
      </c>
      <c r="AI17" s="25" t="str">
        <f t="shared" si="6"/>
        <v xml:space="preserve"> </v>
      </c>
      <c r="AJ17" s="25" t="str">
        <f t="shared" si="7"/>
        <v xml:space="preserve"> </v>
      </c>
      <c r="AK17" s="25" t="str">
        <f t="shared" si="7"/>
        <v xml:space="preserve"> </v>
      </c>
      <c r="AL17" s="16" t="str">
        <f t="shared" si="7"/>
        <v>X</v>
      </c>
      <c r="AN17" s="25" t="str">
        <f t="shared" si="8"/>
        <v xml:space="preserve"> </v>
      </c>
      <c r="AO17" s="25" t="str">
        <f t="shared" si="9"/>
        <v>X</v>
      </c>
      <c r="AP17" s="25" t="str">
        <f t="shared" si="10"/>
        <v xml:space="preserve"> </v>
      </c>
      <c r="AQ17" s="25" t="str">
        <f t="shared" si="11"/>
        <v xml:space="preserve"> </v>
      </c>
      <c r="AR17" s="25" t="str">
        <f t="shared" si="23"/>
        <v xml:space="preserve"> </v>
      </c>
      <c r="AS17" s="17">
        <f t="shared" si="24"/>
        <v>1</v>
      </c>
      <c r="AT17" s="17">
        <f t="shared" si="25"/>
        <v>6</v>
      </c>
      <c r="AV17" s="22">
        <f>STANDARDIZE(C17,C41,C42)</f>
        <v>-0.38138503569823701</v>
      </c>
      <c r="AW17" s="22">
        <f>STANDARDIZE(D17,D41,D42)</f>
        <v>1.4751940169069768</v>
      </c>
      <c r="AX17" s="3">
        <f t="shared" si="26"/>
        <v>7</v>
      </c>
      <c r="AY17" s="3">
        <f t="shared" si="27"/>
        <v>-5</v>
      </c>
      <c r="AZ17" s="22">
        <f>STANDARDIZE(AX17,AX41,AX42)</f>
        <v>0.96691215973489386</v>
      </c>
      <c r="BA17" s="22">
        <f>STANDARDIZE(AY17,AY41,AY42)</f>
        <v>-1.4059673488550548</v>
      </c>
      <c r="BC17" s="22">
        <f t="shared" ref="BC17:BN17" si="76">STANDARDIZE(C17,C41,C42)</f>
        <v>-0.38138503569823701</v>
      </c>
      <c r="BD17" s="22">
        <f t="shared" si="76"/>
        <v>1.4751940169069768</v>
      </c>
      <c r="BE17" s="22">
        <f t="shared" si="76"/>
        <v>-0.4509959436749138</v>
      </c>
      <c r="BF17" s="22">
        <f t="shared" si="76"/>
        <v>-0.57464408753430107</v>
      </c>
      <c r="BG17" s="22">
        <f t="shared" si="76"/>
        <v>-0.23219553633981596</v>
      </c>
      <c r="BH17" s="22">
        <f t="shared" si="76"/>
        <v>-0.64401788495707035</v>
      </c>
      <c r="BI17" s="22">
        <f t="shared" si="76"/>
        <v>1.100259167850693</v>
      </c>
      <c r="BJ17" s="22">
        <f t="shared" si="76"/>
        <v>2.1679955025270474</v>
      </c>
      <c r="BK17" s="22">
        <f t="shared" si="76"/>
        <v>-0.21435005469079299</v>
      </c>
      <c r="BL17" s="22">
        <f t="shared" si="76"/>
        <v>5.463583647081529E-2</v>
      </c>
      <c r="BM17" s="22">
        <f t="shared" si="76"/>
        <v>1.6322031312519536</v>
      </c>
      <c r="BN17" s="22">
        <f t="shared" si="76"/>
        <v>-0.76224186333987731</v>
      </c>
      <c r="BP17" s="26">
        <f t="shared" si="29"/>
        <v>0</v>
      </c>
      <c r="BQ17" s="22">
        <f>STANDARDIZE(BP17,BP41,BP42)</f>
        <v>-0.64768613876538961</v>
      </c>
      <c r="BR17" s="22">
        <f t="shared" si="30"/>
        <v>8</v>
      </c>
      <c r="BS17" s="22">
        <f>STANDARDIZE(BR17,BR41,BR42)</f>
        <v>0.39671342213781996</v>
      </c>
      <c r="BT17" s="22"/>
      <c r="BU17" s="26">
        <f t="shared" si="31"/>
        <v>5</v>
      </c>
      <c r="BV17" s="22">
        <f>STANDARDIZE(BU17,BU41,BU42)</f>
        <v>0.33315562662560344</v>
      </c>
      <c r="BW17" s="22"/>
      <c r="BX17" s="26">
        <f t="shared" si="32"/>
        <v>12</v>
      </c>
      <c r="BY17" s="22">
        <f>STANDARDIZE(BX17,BX41,BX42)</f>
        <v>0.60514067200498711</v>
      </c>
      <c r="BZ17"/>
      <c r="CA17" s="4" t="str">
        <f t="shared" si="33"/>
        <v>0</v>
      </c>
      <c r="CB17" s="4" t="str">
        <f t="shared" si="34"/>
        <v>0</v>
      </c>
      <c r="CC17" s="4" t="str">
        <f t="shared" si="35"/>
        <v>0</v>
      </c>
      <c r="CD17" s="4">
        <f t="shared" si="36"/>
        <v>0</v>
      </c>
      <c r="CE17" s="4" t="str">
        <f t="shared" si="37"/>
        <v>1</v>
      </c>
      <c r="CF17" s="4" t="str">
        <f t="shared" si="38"/>
        <v>1</v>
      </c>
      <c r="CG17" s="4" t="str">
        <f t="shared" si="39"/>
        <v>1</v>
      </c>
      <c r="CH17" s="4">
        <f t="shared" si="40"/>
        <v>3</v>
      </c>
      <c r="CI17" s="4" t="str">
        <f t="shared" si="41"/>
        <v>0</v>
      </c>
      <c r="CJ17" s="4" t="str">
        <f t="shared" si="42"/>
        <v>1</v>
      </c>
      <c r="CK17" s="4" t="str">
        <f t="shared" si="42"/>
        <v>0</v>
      </c>
      <c r="CL17" s="4">
        <f t="shared" si="43"/>
        <v>1</v>
      </c>
      <c r="CM17" s="4" t="str">
        <f t="shared" si="44"/>
        <v>0</v>
      </c>
      <c r="CN17" s="4" t="str">
        <f t="shared" si="45"/>
        <v>1</v>
      </c>
      <c r="CO17" s="4" t="str">
        <f t="shared" si="46"/>
        <v>0</v>
      </c>
      <c r="CP17" s="4">
        <f t="shared" si="47"/>
        <v>1</v>
      </c>
      <c r="CQ17" s="4" t="str">
        <f t="shared" si="48"/>
        <v>0</v>
      </c>
      <c r="CR17" s="4" t="str">
        <f t="shared" si="49"/>
        <v>0</v>
      </c>
      <c r="CS17" s="4" t="str">
        <f t="shared" si="50"/>
        <v>0</v>
      </c>
      <c r="CT17" s="4" t="str">
        <f t="shared" si="51"/>
        <v>1</v>
      </c>
      <c r="CU17" s="4">
        <f t="shared" si="52"/>
        <v>1</v>
      </c>
    </row>
    <row r="18" spans="1:99" x14ac:dyDescent="0.25">
      <c r="A18">
        <v>15</v>
      </c>
      <c r="C18" s="6">
        <f t="shared" ref="C18:N18" si="77">COUNTIF(C50:C154,15)</f>
        <v>1</v>
      </c>
      <c r="D18" s="6">
        <f t="shared" si="77"/>
        <v>4</v>
      </c>
      <c r="E18" s="7">
        <f t="shared" si="77"/>
        <v>4</v>
      </c>
      <c r="F18" s="23">
        <f t="shared" si="77"/>
        <v>7</v>
      </c>
      <c r="G18" s="24">
        <f t="shared" si="77"/>
        <v>1</v>
      </c>
      <c r="H18" s="7">
        <f t="shared" si="77"/>
        <v>1</v>
      </c>
      <c r="I18" s="23">
        <f t="shared" si="77"/>
        <v>0</v>
      </c>
      <c r="J18" s="24">
        <f t="shared" si="77"/>
        <v>0</v>
      </c>
      <c r="K18" s="10">
        <f t="shared" si="77"/>
        <v>0</v>
      </c>
      <c r="L18" s="10">
        <f t="shared" si="77"/>
        <v>6</v>
      </c>
      <c r="M18" s="10">
        <f t="shared" si="77"/>
        <v>1</v>
      </c>
      <c r="N18" s="6">
        <f t="shared" si="77"/>
        <v>0</v>
      </c>
      <c r="Q18" s="83">
        <f t="shared" si="14"/>
        <v>3.5</v>
      </c>
      <c r="R18" s="84">
        <f t="shared" si="15"/>
        <v>1</v>
      </c>
      <c r="S18" s="84">
        <f t="shared" si="16"/>
        <v>0</v>
      </c>
      <c r="T18" s="84">
        <f t="shared" si="17"/>
        <v>2.5</v>
      </c>
      <c r="U18" s="16" t="str">
        <f t="shared" si="1"/>
        <v xml:space="preserve"> </v>
      </c>
      <c r="V18" s="16" t="str">
        <f t="shared" si="2"/>
        <v xml:space="preserve"> </v>
      </c>
      <c r="W18" s="16" t="str">
        <f t="shared" si="3"/>
        <v xml:space="preserve"> </v>
      </c>
      <c r="X18" s="16" t="str">
        <f t="shared" si="4"/>
        <v xml:space="preserve"> </v>
      </c>
      <c r="Z18" s="84">
        <f t="shared" si="18"/>
        <v>3.5</v>
      </c>
      <c r="AA18" s="62" t="str">
        <f t="shared" si="5"/>
        <v xml:space="preserve"> </v>
      </c>
      <c r="AB18" s="58"/>
      <c r="AC18" s="76" t="str">
        <f t="shared" si="19"/>
        <v xml:space="preserve">15 </v>
      </c>
      <c r="AE18" s="16">
        <f t="shared" si="20"/>
        <v>7</v>
      </c>
      <c r="AF18" s="17">
        <f t="shared" si="21"/>
        <v>0</v>
      </c>
      <c r="AG18" s="17">
        <f t="shared" si="21"/>
        <v>6</v>
      </c>
      <c r="AH18" s="17">
        <f t="shared" si="22"/>
        <v>1</v>
      </c>
      <c r="AI18" s="25" t="str">
        <f t="shared" si="6"/>
        <v xml:space="preserve"> </v>
      </c>
      <c r="AJ18" s="25" t="str">
        <f t="shared" si="7"/>
        <v xml:space="preserve"> </v>
      </c>
      <c r="AK18" s="25" t="str">
        <f t="shared" si="7"/>
        <v>X</v>
      </c>
      <c r="AL18" s="16" t="str">
        <f t="shared" si="7"/>
        <v xml:space="preserve"> </v>
      </c>
      <c r="AN18" s="25" t="str">
        <f t="shared" si="8"/>
        <v xml:space="preserve"> </v>
      </c>
      <c r="AO18" s="25" t="str">
        <f t="shared" si="9"/>
        <v xml:space="preserve"> </v>
      </c>
      <c r="AP18" s="25" t="str">
        <f t="shared" si="10"/>
        <v xml:space="preserve"> </v>
      </c>
      <c r="AQ18" s="25" t="str">
        <f t="shared" si="11"/>
        <v xml:space="preserve"> </v>
      </c>
      <c r="AR18" s="25" t="str">
        <f t="shared" si="23"/>
        <v xml:space="preserve"> </v>
      </c>
      <c r="AS18" s="17">
        <f t="shared" si="24"/>
        <v>1</v>
      </c>
      <c r="AT18" s="17">
        <f t="shared" si="25"/>
        <v>4</v>
      </c>
      <c r="AV18" s="22">
        <f>STANDARDIZE(C18,C41,C42)</f>
        <v>-0.38138503569823701</v>
      </c>
      <c r="AW18" s="22">
        <f>STANDARDIZE(D18,D41,D42)</f>
        <v>0.77272067552270218</v>
      </c>
      <c r="AX18" s="3">
        <f t="shared" si="26"/>
        <v>5</v>
      </c>
      <c r="AY18" s="3">
        <f t="shared" si="27"/>
        <v>-3</v>
      </c>
      <c r="AZ18" s="22">
        <f>STANDARDIZE(AX18,AX41,AX42)</f>
        <v>0.39814030106730924</v>
      </c>
      <c r="BA18" s="22">
        <f>STANDARDIZE(AY18,AY41,AY42)</f>
        <v>-0.84358040931303291</v>
      </c>
      <c r="BC18" s="22">
        <f t="shared" ref="BC18:BN18" si="78">STANDARDIZE(C18,C41,C42)</f>
        <v>-0.38138503569823701</v>
      </c>
      <c r="BD18" s="22">
        <f t="shared" si="78"/>
        <v>0.77272067552270218</v>
      </c>
      <c r="BE18" s="22">
        <f t="shared" si="78"/>
        <v>0.55121726449156139</v>
      </c>
      <c r="BF18" s="22">
        <f t="shared" si="78"/>
        <v>1.6600829195435365</v>
      </c>
      <c r="BG18" s="22">
        <f t="shared" si="78"/>
        <v>-0.23219553633981596</v>
      </c>
      <c r="BH18" s="22">
        <f t="shared" si="78"/>
        <v>-0.2862301710920313</v>
      </c>
      <c r="BI18" s="22">
        <f t="shared" si="78"/>
        <v>-0.6188957819160148</v>
      </c>
      <c r="BJ18" s="22">
        <f t="shared" si="78"/>
        <v>-0.75045998164397798</v>
      </c>
      <c r="BK18" s="22">
        <f t="shared" si="78"/>
        <v>-0.48228762305428424</v>
      </c>
      <c r="BL18" s="22">
        <f t="shared" si="78"/>
        <v>1.1473525658871213</v>
      </c>
      <c r="BM18" s="22">
        <f t="shared" si="78"/>
        <v>-0.18135590347243929</v>
      </c>
      <c r="BN18" s="22">
        <f t="shared" si="78"/>
        <v>-0.76224186333987731</v>
      </c>
      <c r="BP18" s="26">
        <f t="shared" si="29"/>
        <v>5</v>
      </c>
      <c r="BQ18" s="22">
        <f>STANDARDIZE(BP18,BP41,BP42)</f>
        <v>0.25187794285320703</v>
      </c>
      <c r="BR18" s="22">
        <f t="shared" si="30"/>
        <v>3.5</v>
      </c>
      <c r="BS18" s="22">
        <f>STANDARDIZE(BR18,BR41,BR42)</f>
        <v>-0.28990596233148391</v>
      </c>
      <c r="BT18" s="22"/>
      <c r="BU18" s="26">
        <f t="shared" si="31"/>
        <v>7</v>
      </c>
      <c r="BV18" s="22">
        <f>STANDARDIZE(BU18,BU41,BU42)</f>
        <v>0.8090922360907512</v>
      </c>
      <c r="BW18" s="22"/>
      <c r="BX18" s="26">
        <f t="shared" si="32"/>
        <v>7</v>
      </c>
      <c r="BY18" s="22">
        <f>STANDARDIZE(BX18,BX41,BX42)</f>
        <v>0.14670076897090595</v>
      </c>
      <c r="BZ18"/>
      <c r="CA18" s="4" t="str">
        <f t="shared" si="33"/>
        <v>0</v>
      </c>
      <c r="CB18" s="4" t="str">
        <f t="shared" si="34"/>
        <v>0</v>
      </c>
      <c r="CC18" s="4" t="str">
        <f t="shared" si="35"/>
        <v>0</v>
      </c>
      <c r="CD18" s="4">
        <f t="shared" si="36"/>
        <v>0</v>
      </c>
      <c r="CE18" s="4" t="str">
        <f t="shared" si="37"/>
        <v>0</v>
      </c>
      <c r="CF18" s="4" t="str">
        <f t="shared" si="38"/>
        <v>1</v>
      </c>
      <c r="CG18" s="4" t="str">
        <f t="shared" si="39"/>
        <v>1</v>
      </c>
      <c r="CH18" s="4">
        <f t="shared" si="40"/>
        <v>2</v>
      </c>
      <c r="CI18" s="4" t="str">
        <f t="shared" si="41"/>
        <v>0</v>
      </c>
      <c r="CJ18" s="4" t="str">
        <f t="shared" si="42"/>
        <v>1</v>
      </c>
      <c r="CK18" s="4" t="str">
        <f t="shared" si="42"/>
        <v>0</v>
      </c>
      <c r="CL18" s="4">
        <f t="shared" si="43"/>
        <v>1</v>
      </c>
      <c r="CM18" s="4" t="str">
        <f t="shared" si="44"/>
        <v>0</v>
      </c>
      <c r="CN18" s="4" t="str">
        <f t="shared" si="45"/>
        <v>1</v>
      </c>
      <c r="CO18" s="4" t="str">
        <f t="shared" si="46"/>
        <v>0</v>
      </c>
      <c r="CP18" s="4">
        <f t="shared" si="47"/>
        <v>1</v>
      </c>
      <c r="CQ18" s="4" t="str">
        <f t="shared" si="48"/>
        <v>0</v>
      </c>
      <c r="CR18" s="4" t="str">
        <f t="shared" si="49"/>
        <v>0</v>
      </c>
      <c r="CS18" s="4" t="str">
        <f t="shared" si="50"/>
        <v>0</v>
      </c>
      <c r="CT18" s="4" t="str">
        <f t="shared" si="51"/>
        <v>1</v>
      </c>
      <c r="CU18" s="4">
        <f t="shared" si="52"/>
        <v>1</v>
      </c>
    </row>
    <row r="19" spans="1:99" x14ac:dyDescent="0.25">
      <c r="A19">
        <v>16</v>
      </c>
      <c r="C19" s="6">
        <f t="shared" ref="C19:N19" si="79">COUNTIF(C50:C154,16)</f>
        <v>1</v>
      </c>
      <c r="D19" s="6">
        <f t="shared" si="79"/>
        <v>11</v>
      </c>
      <c r="E19" s="7">
        <f t="shared" si="79"/>
        <v>19</v>
      </c>
      <c r="F19" s="23">
        <f t="shared" si="79"/>
        <v>12</v>
      </c>
      <c r="G19" s="24">
        <f t="shared" si="79"/>
        <v>13</v>
      </c>
      <c r="H19" s="7">
        <f t="shared" si="79"/>
        <v>7</v>
      </c>
      <c r="I19" s="23">
        <f t="shared" si="79"/>
        <v>1</v>
      </c>
      <c r="J19" s="24">
        <f t="shared" si="79"/>
        <v>0</v>
      </c>
      <c r="K19" s="10">
        <f t="shared" si="79"/>
        <v>1</v>
      </c>
      <c r="L19" s="10">
        <f t="shared" si="79"/>
        <v>0</v>
      </c>
      <c r="M19" s="10">
        <f t="shared" si="79"/>
        <v>1</v>
      </c>
      <c r="N19" s="6">
        <f t="shared" si="79"/>
        <v>1</v>
      </c>
      <c r="Q19" s="83">
        <f t="shared" si="14"/>
        <v>26</v>
      </c>
      <c r="R19" s="84">
        <f t="shared" si="15"/>
        <v>13</v>
      </c>
      <c r="S19" s="84">
        <f t="shared" si="16"/>
        <v>0</v>
      </c>
      <c r="T19" s="84">
        <f t="shared" si="17"/>
        <v>13</v>
      </c>
      <c r="U19" s="16" t="str">
        <f t="shared" si="1"/>
        <v>X</v>
      </c>
      <c r="V19" s="16" t="str">
        <f t="shared" si="2"/>
        <v>X</v>
      </c>
      <c r="W19" s="16" t="str">
        <f t="shared" si="3"/>
        <v xml:space="preserve"> </v>
      </c>
      <c r="X19" s="16" t="str">
        <f t="shared" si="4"/>
        <v>X</v>
      </c>
      <c r="Z19" s="84">
        <f t="shared" si="18"/>
        <v>6.5</v>
      </c>
      <c r="AA19" s="62" t="str">
        <f t="shared" si="5"/>
        <v>X</v>
      </c>
      <c r="AB19" s="58"/>
      <c r="AC19" s="76" t="str">
        <f t="shared" si="19"/>
        <v xml:space="preserve">16 </v>
      </c>
      <c r="AE19" s="16">
        <f t="shared" si="20"/>
        <v>2</v>
      </c>
      <c r="AF19" s="17">
        <f t="shared" si="21"/>
        <v>1</v>
      </c>
      <c r="AG19" s="17">
        <f t="shared" si="21"/>
        <v>0</v>
      </c>
      <c r="AH19" s="17">
        <f t="shared" si="22"/>
        <v>1</v>
      </c>
      <c r="AI19" s="25" t="str">
        <f t="shared" si="6"/>
        <v xml:space="preserve"> </v>
      </c>
      <c r="AJ19" s="25" t="str">
        <f t="shared" si="7"/>
        <v xml:space="preserve"> </v>
      </c>
      <c r="AK19" s="25" t="str">
        <f t="shared" si="7"/>
        <v xml:space="preserve"> </v>
      </c>
      <c r="AL19" s="16" t="str">
        <f t="shared" si="7"/>
        <v xml:space="preserve"> </v>
      </c>
      <c r="AN19" s="25" t="str">
        <f t="shared" si="8"/>
        <v xml:space="preserve"> </v>
      </c>
      <c r="AO19" s="25" t="str">
        <f t="shared" si="9"/>
        <v>X</v>
      </c>
      <c r="AP19" s="25" t="str">
        <f t="shared" si="10"/>
        <v xml:space="preserve"> </v>
      </c>
      <c r="AQ19" s="25" t="str">
        <f t="shared" si="11"/>
        <v xml:space="preserve"> </v>
      </c>
      <c r="AR19" s="25" t="str">
        <f t="shared" si="23"/>
        <v xml:space="preserve"> </v>
      </c>
      <c r="AS19" s="17">
        <f t="shared" si="24"/>
        <v>1</v>
      </c>
      <c r="AT19" s="17">
        <f t="shared" si="25"/>
        <v>11</v>
      </c>
      <c r="AV19" s="22">
        <f>STANDARDIZE(C19,C41,C42)</f>
        <v>-0.38138503569823701</v>
      </c>
      <c r="AW19" s="22">
        <f>STANDARDIZE(D19,D41,D42)</f>
        <v>3.2313773703676634</v>
      </c>
      <c r="AX19" s="3">
        <f t="shared" si="26"/>
        <v>12</v>
      </c>
      <c r="AY19" s="3">
        <f t="shared" si="27"/>
        <v>-10</v>
      </c>
      <c r="AZ19" s="22">
        <f>STANDARDIZE(AX19,AX41,AX42)</f>
        <v>2.3888418064038559</v>
      </c>
      <c r="BA19" s="22">
        <f>STANDARDIZE(AY19,AY41,AY42)</f>
        <v>-2.8119346977101096</v>
      </c>
      <c r="BC19" s="22">
        <f t="shared" ref="BC19:BN19" si="80">STANDARDIZE(C19,C41,C42)</f>
        <v>-0.38138503569823701</v>
      </c>
      <c r="BD19" s="22">
        <f t="shared" si="80"/>
        <v>3.2313773703676634</v>
      </c>
      <c r="BE19" s="22">
        <f t="shared" si="80"/>
        <v>4.3095167951158428</v>
      </c>
      <c r="BF19" s="22">
        <f t="shared" si="80"/>
        <v>3.256316496027706</v>
      </c>
      <c r="BG19" s="22">
        <f t="shared" si="80"/>
        <v>3.2507375087574228</v>
      </c>
      <c r="BH19" s="22">
        <f t="shared" si="80"/>
        <v>1.8604961120982033</v>
      </c>
      <c r="BI19" s="22">
        <f t="shared" si="80"/>
        <v>-0.27506479196267325</v>
      </c>
      <c r="BJ19" s="22">
        <f t="shared" si="80"/>
        <v>-0.75045998164397798</v>
      </c>
      <c r="BK19" s="22">
        <f t="shared" si="80"/>
        <v>-0.21435005469079299</v>
      </c>
      <c r="BL19" s="22">
        <f t="shared" si="80"/>
        <v>-0.49172252823733775</v>
      </c>
      <c r="BM19" s="22">
        <f t="shared" si="80"/>
        <v>-0.18135590347243929</v>
      </c>
      <c r="BN19" s="22">
        <f t="shared" si="80"/>
        <v>-0.33877416148438994</v>
      </c>
      <c r="BP19" s="26">
        <f t="shared" si="29"/>
        <v>26</v>
      </c>
      <c r="BQ19" s="22">
        <f>STANDARDIZE(BP19,BP41,BP42)</f>
        <v>4.0300470856513124</v>
      </c>
      <c r="BR19" s="22">
        <f t="shared" si="30"/>
        <v>26</v>
      </c>
      <c r="BS19" s="22">
        <f>STANDARDIZE(BR19,BR41,BR42)</f>
        <v>3.1431909600150356</v>
      </c>
      <c r="BT19" s="22"/>
      <c r="BU19" s="26">
        <f t="shared" si="31"/>
        <v>13</v>
      </c>
      <c r="BV19" s="22">
        <f>STANDARDIZE(BU19,BU41,BU42)</f>
        <v>2.2369020644861948</v>
      </c>
      <c r="BW19" s="22"/>
      <c r="BX19" s="26">
        <f t="shared" si="32"/>
        <v>2</v>
      </c>
      <c r="BY19" s="22">
        <f>STANDARDIZE(BX19,BX41,BX42)</f>
        <v>-0.31173913406317522</v>
      </c>
      <c r="BZ19"/>
      <c r="CA19" s="4" t="str">
        <f t="shared" si="33"/>
        <v>0</v>
      </c>
      <c r="CB19" s="4" t="str">
        <f t="shared" si="34"/>
        <v>0</v>
      </c>
      <c r="CC19" s="4" t="str">
        <f t="shared" si="35"/>
        <v>0</v>
      </c>
      <c r="CD19" s="4">
        <f t="shared" si="36"/>
        <v>0</v>
      </c>
      <c r="CE19" s="4" t="str">
        <f t="shared" si="37"/>
        <v>1</v>
      </c>
      <c r="CF19" s="4" t="str">
        <f t="shared" si="38"/>
        <v>1</v>
      </c>
      <c r="CG19" s="4" t="str">
        <f t="shared" si="39"/>
        <v>1</v>
      </c>
      <c r="CH19" s="4">
        <f t="shared" si="40"/>
        <v>3</v>
      </c>
      <c r="CI19" s="4" t="str">
        <f t="shared" si="41"/>
        <v>0</v>
      </c>
      <c r="CJ19" s="4" t="str">
        <f t="shared" si="42"/>
        <v>1</v>
      </c>
      <c r="CK19" s="4" t="str">
        <f t="shared" si="42"/>
        <v>0</v>
      </c>
      <c r="CL19" s="4">
        <f t="shared" si="43"/>
        <v>1</v>
      </c>
      <c r="CM19" s="4" t="str">
        <f t="shared" si="44"/>
        <v>1</v>
      </c>
      <c r="CN19" s="4" t="str">
        <f t="shared" si="45"/>
        <v>1</v>
      </c>
      <c r="CO19" s="4" t="str">
        <f t="shared" si="46"/>
        <v>0</v>
      </c>
      <c r="CP19" s="4">
        <f t="shared" si="47"/>
        <v>2</v>
      </c>
      <c r="CQ19" s="4" t="str">
        <f t="shared" si="48"/>
        <v>0</v>
      </c>
      <c r="CR19" s="4" t="str">
        <f t="shared" si="49"/>
        <v>0</v>
      </c>
      <c r="CS19" s="4" t="str">
        <f t="shared" si="50"/>
        <v>0</v>
      </c>
      <c r="CT19" s="4" t="str">
        <f t="shared" si="51"/>
        <v>1</v>
      </c>
      <c r="CU19" s="4">
        <f t="shared" si="52"/>
        <v>1</v>
      </c>
    </row>
    <row r="20" spans="1:99" x14ac:dyDescent="0.25">
      <c r="A20">
        <v>17</v>
      </c>
      <c r="C20" s="6">
        <f t="shared" ref="C20:N20" si="81">COUNTIF(C50:C154,17)</f>
        <v>4</v>
      </c>
      <c r="D20" s="6">
        <f t="shared" si="81"/>
        <v>0</v>
      </c>
      <c r="E20" s="7">
        <f t="shared" si="81"/>
        <v>3</v>
      </c>
      <c r="F20" s="23">
        <f t="shared" si="81"/>
        <v>1</v>
      </c>
      <c r="G20" s="24">
        <f t="shared" si="81"/>
        <v>0</v>
      </c>
      <c r="H20" s="7">
        <f t="shared" si="81"/>
        <v>2</v>
      </c>
      <c r="I20" s="23">
        <f t="shared" si="81"/>
        <v>0</v>
      </c>
      <c r="J20" s="24">
        <f t="shared" si="81"/>
        <v>1</v>
      </c>
      <c r="K20" s="10">
        <f t="shared" si="81"/>
        <v>1</v>
      </c>
      <c r="L20" s="10">
        <f t="shared" si="81"/>
        <v>1</v>
      </c>
      <c r="M20" s="10">
        <f t="shared" si="81"/>
        <v>1</v>
      </c>
      <c r="N20" s="6">
        <f t="shared" si="81"/>
        <v>7</v>
      </c>
      <c r="Q20" s="83">
        <f t="shared" si="14"/>
        <v>3.5</v>
      </c>
      <c r="R20" s="84">
        <f t="shared" si="15"/>
        <v>0</v>
      </c>
      <c r="S20" s="84">
        <f t="shared" si="16"/>
        <v>1</v>
      </c>
      <c r="T20" s="84">
        <f t="shared" si="17"/>
        <v>2.5</v>
      </c>
      <c r="U20" s="16" t="str">
        <f t="shared" si="1"/>
        <v xml:space="preserve"> </v>
      </c>
      <c r="V20" s="16" t="str">
        <f t="shared" si="2"/>
        <v xml:space="preserve"> </v>
      </c>
      <c r="W20" s="16" t="str">
        <f t="shared" si="3"/>
        <v xml:space="preserve"> </v>
      </c>
      <c r="X20" s="16" t="str">
        <f t="shared" si="4"/>
        <v xml:space="preserve"> </v>
      </c>
      <c r="Z20" s="84">
        <f t="shared" si="18"/>
        <v>0.5</v>
      </c>
      <c r="AA20" s="62" t="str">
        <f t="shared" si="5"/>
        <v xml:space="preserve"> </v>
      </c>
      <c r="AB20" s="58"/>
      <c r="AC20" s="76" t="str">
        <f t="shared" si="19"/>
        <v xml:space="preserve">17 </v>
      </c>
      <c r="AE20" s="16">
        <f t="shared" si="20"/>
        <v>3</v>
      </c>
      <c r="AF20" s="17">
        <f t="shared" si="21"/>
        <v>1</v>
      </c>
      <c r="AG20" s="17">
        <f t="shared" si="21"/>
        <v>1</v>
      </c>
      <c r="AH20" s="17">
        <f t="shared" si="22"/>
        <v>1</v>
      </c>
      <c r="AI20" s="25" t="str">
        <f t="shared" si="6"/>
        <v xml:space="preserve"> </v>
      </c>
      <c r="AJ20" s="25" t="str">
        <f t="shared" si="7"/>
        <v xml:space="preserve"> </v>
      </c>
      <c r="AK20" s="25" t="str">
        <f t="shared" si="7"/>
        <v xml:space="preserve"> </v>
      </c>
      <c r="AL20" s="16" t="str">
        <f t="shared" si="7"/>
        <v xml:space="preserve"> </v>
      </c>
      <c r="AN20" s="25" t="str">
        <f t="shared" si="8"/>
        <v>X</v>
      </c>
      <c r="AO20" s="25" t="str">
        <f t="shared" si="9"/>
        <v xml:space="preserve"> </v>
      </c>
      <c r="AP20" s="25" t="str">
        <f t="shared" si="10"/>
        <v xml:space="preserve"> </v>
      </c>
      <c r="AQ20" s="25" t="str">
        <f t="shared" si="11"/>
        <v xml:space="preserve"> </v>
      </c>
      <c r="AR20" s="25" t="str">
        <f t="shared" si="23"/>
        <v xml:space="preserve"> </v>
      </c>
      <c r="AS20" s="17">
        <f t="shared" si="24"/>
        <v>4</v>
      </c>
      <c r="AT20" s="17">
        <f t="shared" si="25"/>
        <v>0</v>
      </c>
      <c r="AV20" s="22">
        <f>STANDARDIZE(C20,C41,C42)</f>
        <v>1.0488088481701519</v>
      </c>
      <c r="AW20" s="22">
        <f>STANDARDIZE(D20,D41,D42)</f>
        <v>-0.63222600724584721</v>
      </c>
      <c r="AX20" s="3">
        <f t="shared" si="26"/>
        <v>4</v>
      </c>
      <c r="AY20" s="3">
        <f t="shared" si="27"/>
        <v>4</v>
      </c>
      <c r="AZ20" s="22">
        <f>STANDARDIZE(AX20,AX41,AX42)</f>
        <v>0.11375437173351691</v>
      </c>
      <c r="BA20" s="22">
        <f>STANDARDIZE(AY20,AY41,AY42)</f>
        <v>1.1247738790840438</v>
      </c>
      <c r="BC20" s="22">
        <f t="shared" ref="BC20:BN20" si="82">STANDARDIZE(C20,C41,C42)</f>
        <v>1.0488088481701519</v>
      </c>
      <c r="BD20" s="22">
        <f t="shared" si="82"/>
        <v>-0.63222600724584721</v>
      </c>
      <c r="BE20" s="22">
        <f t="shared" si="82"/>
        <v>0.30066396244994253</v>
      </c>
      <c r="BF20" s="22">
        <f t="shared" si="82"/>
        <v>-0.25539737223746717</v>
      </c>
      <c r="BG20" s="22">
        <f t="shared" si="82"/>
        <v>-0.52243995676458588</v>
      </c>
      <c r="BH20" s="22">
        <f t="shared" si="82"/>
        <v>7.1557542773007798E-2</v>
      </c>
      <c r="BI20" s="22">
        <f t="shared" si="82"/>
        <v>-0.6188957819160148</v>
      </c>
      <c r="BJ20" s="22">
        <f t="shared" si="82"/>
        <v>-0.33353776961954579</v>
      </c>
      <c r="BK20" s="22">
        <f t="shared" si="82"/>
        <v>-0.21435005469079299</v>
      </c>
      <c r="BL20" s="22">
        <f t="shared" si="82"/>
        <v>-0.21854334588326121</v>
      </c>
      <c r="BM20" s="22">
        <f t="shared" si="82"/>
        <v>-0.18135590347243929</v>
      </c>
      <c r="BN20" s="22">
        <f t="shared" si="82"/>
        <v>2.2020320496485346</v>
      </c>
      <c r="BP20" s="26">
        <f t="shared" si="29"/>
        <v>5</v>
      </c>
      <c r="BQ20" s="22">
        <f>STANDARDIZE(BP20,BP41,BP42)</f>
        <v>0.25187794285320703</v>
      </c>
      <c r="BR20" s="22">
        <f t="shared" si="30"/>
        <v>3.5</v>
      </c>
      <c r="BS20" s="22">
        <f>STANDARDIZE(BR20,BR41,BR42)</f>
        <v>-0.28990596233148391</v>
      </c>
      <c r="BT20" s="22"/>
      <c r="BU20" s="26">
        <f t="shared" si="31"/>
        <v>1</v>
      </c>
      <c r="BV20" s="22">
        <f>STANDARDIZE(BU20,BU41,BU42)</f>
        <v>-0.61871759230469214</v>
      </c>
      <c r="BW20" s="22"/>
      <c r="BX20" s="26">
        <f t="shared" si="32"/>
        <v>3</v>
      </c>
      <c r="BY20" s="22">
        <f>STANDARDIZE(BX20,BX41,BX42)</f>
        <v>-0.22005115345635901</v>
      </c>
      <c r="BZ20"/>
      <c r="CA20" s="4" t="str">
        <f t="shared" si="33"/>
        <v>1</v>
      </c>
      <c r="CB20" s="4" t="str">
        <f t="shared" si="34"/>
        <v>1</v>
      </c>
      <c r="CC20" s="4" t="str">
        <f t="shared" si="35"/>
        <v>1</v>
      </c>
      <c r="CD20" s="4">
        <f t="shared" si="36"/>
        <v>3</v>
      </c>
      <c r="CE20" s="4" t="str">
        <f t="shared" si="37"/>
        <v>0</v>
      </c>
      <c r="CF20" s="4" t="str">
        <f t="shared" si="38"/>
        <v>0</v>
      </c>
      <c r="CG20" s="4" t="str">
        <f t="shared" si="39"/>
        <v>0</v>
      </c>
      <c r="CH20" s="4">
        <f t="shared" si="40"/>
        <v>0</v>
      </c>
      <c r="CI20" s="4" t="str">
        <f t="shared" si="41"/>
        <v>0</v>
      </c>
      <c r="CJ20" s="4" t="str">
        <f t="shared" si="42"/>
        <v>0</v>
      </c>
      <c r="CK20" s="4" t="str">
        <f t="shared" si="42"/>
        <v>1</v>
      </c>
      <c r="CL20" s="4">
        <f t="shared" si="43"/>
        <v>1</v>
      </c>
      <c r="CM20" s="4" t="str">
        <f t="shared" si="44"/>
        <v>0</v>
      </c>
      <c r="CN20" s="4" t="str">
        <f t="shared" si="45"/>
        <v>0</v>
      </c>
      <c r="CO20" s="4" t="str">
        <f t="shared" si="46"/>
        <v>1</v>
      </c>
      <c r="CP20" s="4">
        <f t="shared" si="47"/>
        <v>1</v>
      </c>
      <c r="CQ20" s="4" t="str">
        <f t="shared" si="48"/>
        <v>0</v>
      </c>
      <c r="CR20" s="4" t="str">
        <f t="shared" si="49"/>
        <v>1</v>
      </c>
      <c r="CS20" s="4" t="str">
        <f t="shared" si="50"/>
        <v>1</v>
      </c>
      <c r="CT20" s="4" t="str">
        <f t="shared" si="51"/>
        <v>0</v>
      </c>
      <c r="CU20" s="4">
        <f t="shared" si="52"/>
        <v>2</v>
      </c>
    </row>
    <row r="21" spans="1:99" x14ac:dyDescent="0.25">
      <c r="A21">
        <v>18</v>
      </c>
      <c r="C21" s="6">
        <f t="shared" ref="C21:N21" si="83">COUNTIF(C50:C154,18)</f>
        <v>2</v>
      </c>
      <c r="D21" s="6">
        <f t="shared" si="83"/>
        <v>0</v>
      </c>
      <c r="E21" s="7">
        <f t="shared" si="83"/>
        <v>0</v>
      </c>
      <c r="F21" s="23">
        <f t="shared" si="83"/>
        <v>3</v>
      </c>
      <c r="G21" s="24">
        <f t="shared" si="83"/>
        <v>5</v>
      </c>
      <c r="H21" s="7">
        <f t="shared" si="83"/>
        <v>4</v>
      </c>
      <c r="I21" s="23">
        <f t="shared" si="83"/>
        <v>6</v>
      </c>
      <c r="J21" s="24">
        <f t="shared" si="83"/>
        <v>4</v>
      </c>
      <c r="K21" s="10">
        <f t="shared" si="83"/>
        <v>1</v>
      </c>
      <c r="L21" s="10">
        <f t="shared" si="83"/>
        <v>0</v>
      </c>
      <c r="M21" s="10">
        <f t="shared" si="83"/>
        <v>0</v>
      </c>
      <c r="N21" s="6">
        <f t="shared" si="83"/>
        <v>5</v>
      </c>
      <c r="Q21" s="83">
        <f t="shared" si="14"/>
        <v>11</v>
      </c>
      <c r="R21" s="84">
        <f t="shared" si="15"/>
        <v>5</v>
      </c>
      <c r="S21" s="84">
        <f t="shared" si="16"/>
        <v>4</v>
      </c>
      <c r="T21" s="84">
        <f t="shared" si="17"/>
        <v>2</v>
      </c>
      <c r="U21" s="16" t="str">
        <f t="shared" si="1"/>
        <v xml:space="preserve"> </v>
      </c>
      <c r="V21" s="16" t="str">
        <f t="shared" si="2"/>
        <v xml:space="preserve"> </v>
      </c>
      <c r="W21" s="16" t="str">
        <f t="shared" si="3"/>
        <v xml:space="preserve"> </v>
      </c>
      <c r="X21" s="16" t="str">
        <f t="shared" si="4"/>
        <v xml:space="preserve"> </v>
      </c>
      <c r="Z21" s="84">
        <f t="shared" si="18"/>
        <v>4.5</v>
      </c>
      <c r="AA21" s="62" t="str">
        <f t="shared" si="5"/>
        <v>X</v>
      </c>
      <c r="AB21" s="58"/>
      <c r="AC21" s="76" t="str">
        <f t="shared" si="19"/>
        <v xml:space="preserve">18 </v>
      </c>
      <c r="AE21" s="16">
        <f t="shared" si="20"/>
        <v>1</v>
      </c>
      <c r="AF21" s="17">
        <f t="shared" si="21"/>
        <v>1</v>
      </c>
      <c r="AG21" s="17">
        <f t="shared" si="21"/>
        <v>0</v>
      </c>
      <c r="AH21" s="17">
        <f t="shared" si="22"/>
        <v>0</v>
      </c>
      <c r="AI21" s="25" t="str">
        <f t="shared" si="6"/>
        <v xml:space="preserve"> </v>
      </c>
      <c r="AJ21" s="25" t="str">
        <f t="shared" si="7"/>
        <v xml:space="preserve"> </v>
      </c>
      <c r="AK21" s="25" t="str">
        <f t="shared" si="7"/>
        <v xml:space="preserve"> </v>
      </c>
      <c r="AL21" s="16" t="str">
        <f t="shared" si="7"/>
        <v xml:space="preserve"> </v>
      </c>
      <c r="AN21" s="25" t="str">
        <f t="shared" si="8"/>
        <v xml:space="preserve"> </v>
      </c>
      <c r="AO21" s="25" t="str">
        <f t="shared" si="9"/>
        <v xml:space="preserve"> </v>
      </c>
      <c r="AP21" s="25" t="str">
        <f t="shared" si="10"/>
        <v xml:space="preserve"> </v>
      </c>
      <c r="AQ21" s="25" t="str">
        <f t="shared" si="11"/>
        <v xml:space="preserve"> </v>
      </c>
      <c r="AR21" s="25" t="str">
        <f t="shared" si="23"/>
        <v xml:space="preserve"> </v>
      </c>
      <c r="AS21" s="17">
        <f t="shared" si="24"/>
        <v>2</v>
      </c>
      <c r="AT21" s="17">
        <f t="shared" si="25"/>
        <v>0</v>
      </c>
      <c r="AV21" s="22">
        <f>STANDARDIZE(C21,C41,C42)</f>
        <v>9.5346258924559224E-2</v>
      </c>
      <c r="AW21" s="22">
        <f>STANDARDIZE(D21,D41,D42)</f>
        <v>-0.63222600724584721</v>
      </c>
      <c r="AX21" s="3">
        <f t="shared" si="26"/>
        <v>2</v>
      </c>
      <c r="AY21" s="3">
        <f t="shared" si="27"/>
        <v>2</v>
      </c>
      <c r="AZ21" s="22">
        <f>STANDARDIZE(AX21,AX41,AX42)</f>
        <v>-0.45501748693406774</v>
      </c>
      <c r="BA21" s="22">
        <f>STANDARDIZE(AY21,AY41,AY42)</f>
        <v>0.5623869395420219</v>
      </c>
      <c r="BC21" s="22">
        <f t="shared" ref="BC21:BN21" si="84">STANDARDIZE(C21,C41,C42)</f>
        <v>9.5346258924559224E-2</v>
      </c>
      <c r="BD21" s="22">
        <f t="shared" si="84"/>
        <v>-0.63222600724584721</v>
      </c>
      <c r="BE21" s="22">
        <f t="shared" si="84"/>
        <v>-0.4509959436749138</v>
      </c>
      <c r="BF21" s="22">
        <f t="shared" si="84"/>
        <v>0.3830960583562007</v>
      </c>
      <c r="BG21" s="22">
        <f t="shared" si="84"/>
        <v>0.92878214535926384</v>
      </c>
      <c r="BH21" s="22">
        <f t="shared" si="84"/>
        <v>0.78713297050308606</v>
      </c>
      <c r="BI21" s="22">
        <f t="shared" si="84"/>
        <v>1.4440901578040344</v>
      </c>
      <c r="BJ21" s="22">
        <f t="shared" si="84"/>
        <v>0.9172288664537509</v>
      </c>
      <c r="BK21" s="22">
        <f t="shared" si="84"/>
        <v>-0.21435005469079299</v>
      </c>
      <c r="BL21" s="22">
        <f t="shared" si="84"/>
        <v>-0.49172252823733775</v>
      </c>
      <c r="BM21" s="22">
        <f t="shared" si="84"/>
        <v>-0.4080507828129884</v>
      </c>
      <c r="BN21" s="22">
        <f t="shared" si="84"/>
        <v>1.3550966459375597</v>
      </c>
      <c r="BP21" s="26">
        <f t="shared" si="29"/>
        <v>4</v>
      </c>
      <c r="BQ21" s="22">
        <f>STANDARDIZE(BP21,BP41,BP42)</f>
        <v>7.1965126529487708E-2</v>
      </c>
      <c r="BR21" s="22">
        <f t="shared" si="30"/>
        <v>11</v>
      </c>
      <c r="BS21" s="22">
        <f>STANDARDIZE(BR21,BR41,BR42)</f>
        <v>0.85445967845068926</v>
      </c>
      <c r="BT21" s="22"/>
      <c r="BU21" s="26">
        <f t="shared" si="31"/>
        <v>9</v>
      </c>
      <c r="BV21" s="22">
        <f>STANDARDIZE(BU21,BU41,BU42)</f>
        <v>1.2850288455558991</v>
      </c>
      <c r="BW21" s="22"/>
      <c r="BX21" s="26">
        <f t="shared" si="32"/>
        <v>1</v>
      </c>
      <c r="BY21" s="22">
        <f>STANDARDIZE(BX21,BX41,BX42)</f>
        <v>-0.40342711466999148</v>
      </c>
      <c r="BZ21"/>
      <c r="CA21" s="4" t="str">
        <f t="shared" si="33"/>
        <v>0</v>
      </c>
      <c r="CB21" s="4" t="str">
        <f t="shared" si="34"/>
        <v>1</v>
      </c>
      <c r="CC21" s="4" t="str">
        <f t="shared" si="35"/>
        <v>1</v>
      </c>
      <c r="CD21" s="4">
        <f t="shared" si="36"/>
        <v>2</v>
      </c>
      <c r="CE21" s="4" t="str">
        <f t="shared" si="37"/>
        <v>0</v>
      </c>
      <c r="CF21" s="4" t="str">
        <f t="shared" si="38"/>
        <v>0</v>
      </c>
      <c r="CG21" s="4" t="str">
        <f t="shared" si="39"/>
        <v>0</v>
      </c>
      <c r="CH21" s="4">
        <f t="shared" si="40"/>
        <v>0</v>
      </c>
      <c r="CI21" s="4" t="str">
        <f t="shared" si="41"/>
        <v>0</v>
      </c>
      <c r="CJ21" s="4" t="str">
        <f t="shared" si="42"/>
        <v>0</v>
      </c>
      <c r="CK21" s="4" t="str">
        <f t="shared" si="42"/>
        <v>1</v>
      </c>
      <c r="CL21" s="4">
        <f t="shared" si="43"/>
        <v>1</v>
      </c>
      <c r="CM21" s="4" t="str">
        <f t="shared" si="44"/>
        <v>0</v>
      </c>
      <c r="CN21" s="4" t="str">
        <f t="shared" si="45"/>
        <v>0</v>
      </c>
      <c r="CO21" s="4" t="str">
        <f t="shared" si="46"/>
        <v>1</v>
      </c>
      <c r="CP21" s="4">
        <f t="shared" si="47"/>
        <v>1</v>
      </c>
      <c r="CQ21" s="4" t="str">
        <f t="shared" si="48"/>
        <v>0</v>
      </c>
      <c r="CR21" s="4" t="str">
        <f t="shared" si="49"/>
        <v>0</v>
      </c>
      <c r="CS21" s="4" t="str">
        <f t="shared" si="50"/>
        <v>1</v>
      </c>
      <c r="CT21" s="4" t="str">
        <f t="shared" si="51"/>
        <v>0</v>
      </c>
      <c r="CU21" s="4">
        <f t="shared" si="52"/>
        <v>1</v>
      </c>
    </row>
    <row r="22" spans="1:99" x14ac:dyDescent="0.25">
      <c r="A22">
        <v>19</v>
      </c>
      <c r="C22" s="6">
        <f t="shared" ref="C22:N22" si="85">COUNTIF(C50:C154,19)</f>
        <v>5</v>
      </c>
      <c r="D22" s="6">
        <f t="shared" si="85"/>
        <v>2</v>
      </c>
      <c r="E22" s="7">
        <f t="shared" si="85"/>
        <v>2</v>
      </c>
      <c r="F22" s="23">
        <f t="shared" si="85"/>
        <v>2</v>
      </c>
      <c r="G22" s="24">
        <f t="shared" si="85"/>
        <v>2</v>
      </c>
      <c r="H22" s="7">
        <f t="shared" si="85"/>
        <v>1</v>
      </c>
      <c r="I22" s="23">
        <f t="shared" si="85"/>
        <v>1</v>
      </c>
      <c r="J22" s="24">
        <f t="shared" si="85"/>
        <v>2</v>
      </c>
      <c r="K22" s="10">
        <f t="shared" si="85"/>
        <v>4</v>
      </c>
      <c r="L22" s="10">
        <f t="shared" si="85"/>
        <v>1</v>
      </c>
      <c r="M22" s="10">
        <f t="shared" si="85"/>
        <v>0</v>
      </c>
      <c r="N22" s="6">
        <f t="shared" si="85"/>
        <v>5</v>
      </c>
      <c r="Q22" s="83">
        <f t="shared" si="14"/>
        <v>5.5</v>
      </c>
      <c r="R22" s="84">
        <f t="shared" si="15"/>
        <v>2</v>
      </c>
      <c r="S22" s="84">
        <f t="shared" si="16"/>
        <v>2</v>
      </c>
      <c r="T22" s="84">
        <f t="shared" si="17"/>
        <v>1.5</v>
      </c>
      <c r="U22" s="16" t="str">
        <f t="shared" si="1"/>
        <v xml:space="preserve"> </v>
      </c>
      <c r="V22" s="16" t="str">
        <f t="shared" si="2"/>
        <v xml:space="preserve"> </v>
      </c>
      <c r="W22" s="16" t="str">
        <f t="shared" si="3"/>
        <v xml:space="preserve"> </v>
      </c>
      <c r="X22" s="16" t="str">
        <f t="shared" si="4"/>
        <v xml:space="preserve"> </v>
      </c>
      <c r="Z22" s="84">
        <f t="shared" si="18"/>
        <v>1.5</v>
      </c>
      <c r="AA22" s="62" t="str">
        <f t="shared" si="5"/>
        <v xml:space="preserve"> </v>
      </c>
      <c r="AB22" s="58"/>
      <c r="AC22" s="76" t="str">
        <f t="shared" si="19"/>
        <v xml:space="preserve">19 </v>
      </c>
      <c r="AE22" s="16">
        <f t="shared" si="20"/>
        <v>5</v>
      </c>
      <c r="AF22" s="17">
        <f t="shared" si="21"/>
        <v>4</v>
      </c>
      <c r="AG22" s="17">
        <f t="shared" si="21"/>
        <v>1</v>
      </c>
      <c r="AH22" s="17">
        <f t="shared" si="22"/>
        <v>0</v>
      </c>
      <c r="AI22" s="25" t="str">
        <f t="shared" si="6"/>
        <v xml:space="preserve"> </v>
      </c>
      <c r="AJ22" s="25" t="str">
        <f t="shared" si="7"/>
        <v xml:space="preserve"> </v>
      </c>
      <c r="AK22" s="25" t="str">
        <f t="shared" si="7"/>
        <v xml:space="preserve"> </v>
      </c>
      <c r="AL22" s="16" t="str">
        <f t="shared" si="7"/>
        <v xml:space="preserve"> </v>
      </c>
      <c r="AN22" s="25" t="str">
        <f t="shared" si="8"/>
        <v xml:space="preserve"> </v>
      </c>
      <c r="AO22" s="25" t="str">
        <f t="shared" si="9"/>
        <v xml:space="preserve"> </v>
      </c>
      <c r="AP22" s="25" t="str">
        <f t="shared" si="10"/>
        <v xml:space="preserve"> </v>
      </c>
      <c r="AQ22" s="25" t="str">
        <f t="shared" si="11"/>
        <v xml:space="preserve"> </v>
      </c>
      <c r="AR22" s="25" t="str">
        <f t="shared" si="23"/>
        <v xml:space="preserve"> </v>
      </c>
      <c r="AS22" s="17">
        <f t="shared" si="24"/>
        <v>5</v>
      </c>
      <c r="AT22" s="17">
        <f t="shared" si="25"/>
        <v>2</v>
      </c>
      <c r="AV22" s="22">
        <f>STANDARDIZE(C22,C41,C42)</f>
        <v>1.525540142792948</v>
      </c>
      <c r="AW22" s="22">
        <f>STANDARDIZE(D22,D41,D42)</f>
        <v>7.0247334138427459E-2</v>
      </c>
      <c r="AX22" s="3">
        <f t="shared" si="26"/>
        <v>7</v>
      </c>
      <c r="AY22" s="3">
        <f t="shared" si="27"/>
        <v>3</v>
      </c>
      <c r="AZ22" s="22">
        <f>STANDARDIZE(AX22,AX41,AX42)</f>
        <v>0.96691215973489386</v>
      </c>
      <c r="BA22" s="22">
        <f>STANDARDIZE(AY22,AY41,AY42)</f>
        <v>0.84358040931303291</v>
      </c>
      <c r="BC22" s="22">
        <f t="shared" ref="BC22:BN22" si="86">STANDARDIZE(C22,C41,C42)</f>
        <v>1.525540142792948</v>
      </c>
      <c r="BD22" s="22">
        <f t="shared" si="86"/>
        <v>7.0247334138427459E-2</v>
      </c>
      <c r="BE22" s="22">
        <f t="shared" si="86"/>
        <v>5.0110660408323744E-2</v>
      </c>
      <c r="BF22" s="22">
        <f t="shared" si="86"/>
        <v>6.3849343059366764E-2</v>
      </c>
      <c r="BG22" s="22">
        <f t="shared" si="86"/>
        <v>5.8048884084953969E-2</v>
      </c>
      <c r="BH22" s="22">
        <f t="shared" si="86"/>
        <v>-0.2862301710920313</v>
      </c>
      <c r="BI22" s="22">
        <f t="shared" si="86"/>
        <v>-0.27506479196267325</v>
      </c>
      <c r="BJ22" s="22">
        <f t="shared" si="86"/>
        <v>8.3384442404886419E-2</v>
      </c>
      <c r="BK22" s="22">
        <f t="shared" si="86"/>
        <v>0.58946265039968071</v>
      </c>
      <c r="BL22" s="22">
        <f t="shared" si="86"/>
        <v>-0.21854334588326121</v>
      </c>
      <c r="BM22" s="22">
        <f t="shared" si="86"/>
        <v>-0.4080507828129884</v>
      </c>
      <c r="BN22" s="22">
        <f t="shared" si="86"/>
        <v>1.3550966459375597</v>
      </c>
      <c r="BP22" s="26">
        <f t="shared" si="29"/>
        <v>3</v>
      </c>
      <c r="BQ22" s="22">
        <f>STANDARDIZE(BP22,BP41,BP42)</f>
        <v>-0.10794768979423161</v>
      </c>
      <c r="BR22" s="22">
        <f t="shared" si="30"/>
        <v>5.5</v>
      </c>
      <c r="BS22" s="22">
        <f>STANDARDIZE(BR22,BR41,BR42)</f>
        <v>1.5258208543762255E-2</v>
      </c>
      <c r="BT22" s="22"/>
      <c r="BU22" s="26">
        <f t="shared" si="31"/>
        <v>3</v>
      </c>
      <c r="BV22" s="22">
        <f>STANDARDIZE(BU22,BU41,BU42)</f>
        <v>-0.14278098283954435</v>
      </c>
      <c r="BW22" s="22"/>
      <c r="BX22" s="26">
        <f t="shared" si="32"/>
        <v>5</v>
      </c>
      <c r="BY22" s="22">
        <f>STANDARDIZE(BX22,BX41,BX42)</f>
        <v>-3.6675192242726529E-2</v>
      </c>
      <c r="BZ22"/>
      <c r="CA22" s="4" t="str">
        <f t="shared" si="33"/>
        <v>0</v>
      </c>
      <c r="CB22" s="4" t="str">
        <f t="shared" si="34"/>
        <v>1</v>
      </c>
      <c r="CC22" s="4" t="str">
        <f t="shared" si="35"/>
        <v>0</v>
      </c>
      <c r="CD22" s="4">
        <f t="shared" si="36"/>
        <v>1</v>
      </c>
      <c r="CE22" s="4" t="str">
        <f t="shared" si="37"/>
        <v>0</v>
      </c>
      <c r="CF22" s="4" t="str">
        <f t="shared" si="38"/>
        <v>1</v>
      </c>
      <c r="CG22" s="4" t="str">
        <f t="shared" si="39"/>
        <v>0</v>
      </c>
      <c r="CH22" s="4">
        <f t="shared" si="40"/>
        <v>1</v>
      </c>
      <c r="CI22" s="4" t="str">
        <f t="shared" si="41"/>
        <v>0</v>
      </c>
      <c r="CJ22" s="4" t="str">
        <f t="shared" si="42"/>
        <v>0</v>
      </c>
      <c r="CK22" s="4" t="str">
        <f t="shared" si="42"/>
        <v>0</v>
      </c>
      <c r="CL22" s="4">
        <f t="shared" si="43"/>
        <v>0</v>
      </c>
      <c r="CM22" s="4" t="str">
        <f t="shared" si="44"/>
        <v>0</v>
      </c>
      <c r="CN22" s="4" t="str">
        <f t="shared" si="45"/>
        <v>1</v>
      </c>
      <c r="CO22" s="4" t="str">
        <f t="shared" si="46"/>
        <v>1</v>
      </c>
      <c r="CP22" s="4">
        <f t="shared" si="47"/>
        <v>2</v>
      </c>
      <c r="CQ22" s="4" t="str">
        <f t="shared" si="48"/>
        <v>0</v>
      </c>
      <c r="CR22" s="4" t="str">
        <f t="shared" si="49"/>
        <v>1</v>
      </c>
      <c r="CS22" s="4" t="str">
        <f t="shared" si="50"/>
        <v>0</v>
      </c>
      <c r="CT22" s="4" t="str">
        <f t="shared" si="51"/>
        <v>0</v>
      </c>
      <c r="CU22" s="4">
        <f t="shared" si="52"/>
        <v>1</v>
      </c>
    </row>
    <row r="23" spans="1:99" x14ac:dyDescent="0.25">
      <c r="A23">
        <v>20</v>
      </c>
      <c r="C23" s="6">
        <f t="shared" ref="C23:N23" si="87">COUNTIF(C50:C154,20)</f>
        <v>2</v>
      </c>
      <c r="D23" s="6">
        <f t="shared" si="87"/>
        <v>0</v>
      </c>
      <c r="E23" s="7">
        <f t="shared" si="87"/>
        <v>0</v>
      </c>
      <c r="F23" s="23">
        <f t="shared" si="87"/>
        <v>0</v>
      </c>
      <c r="G23" s="24">
        <f t="shared" si="87"/>
        <v>0</v>
      </c>
      <c r="H23" s="7">
        <f t="shared" si="87"/>
        <v>0</v>
      </c>
      <c r="I23" s="23">
        <f t="shared" si="87"/>
        <v>9</v>
      </c>
      <c r="J23" s="24">
        <f t="shared" si="87"/>
        <v>5</v>
      </c>
      <c r="K23" s="10">
        <f t="shared" si="87"/>
        <v>0</v>
      </c>
      <c r="L23" s="10">
        <f t="shared" si="87"/>
        <v>0</v>
      </c>
      <c r="M23" s="10">
        <f t="shared" si="87"/>
        <v>1</v>
      </c>
      <c r="N23" s="6">
        <f t="shared" si="87"/>
        <v>3</v>
      </c>
      <c r="Q23" s="83">
        <f t="shared" si="14"/>
        <v>5</v>
      </c>
      <c r="R23" s="84">
        <f t="shared" si="15"/>
        <v>0</v>
      </c>
      <c r="S23" s="84">
        <f t="shared" si="16"/>
        <v>5</v>
      </c>
      <c r="T23" s="84">
        <f t="shared" si="17"/>
        <v>0</v>
      </c>
      <c r="U23" s="16" t="str">
        <f t="shared" si="1"/>
        <v xml:space="preserve"> </v>
      </c>
      <c r="V23" s="16" t="str">
        <f t="shared" si="2"/>
        <v xml:space="preserve"> </v>
      </c>
      <c r="W23" s="16" t="str">
        <f t="shared" si="3"/>
        <v>X</v>
      </c>
      <c r="X23" s="16" t="str">
        <f t="shared" si="4"/>
        <v xml:space="preserve"> </v>
      </c>
      <c r="Z23" s="84">
        <f t="shared" si="18"/>
        <v>4.5</v>
      </c>
      <c r="AA23" s="62" t="str">
        <f t="shared" si="5"/>
        <v>X</v>
      </c>
      <c r="AB23" s="58"/>
      <c r="AC23" s="76" t="str">
        <f t="shared" si="19"/>
        <v xml:space="preserve">20 </v>
      </c>
      <c r="AE23" s="16">
        <f t="shared" si="20"/>
        <v>1</v>
      </c>
      <c r="AF23" s="17">
        <f t="shared" si="21"/>
        <v>0</v>
      </c>
      <c r="AG23" s="17">
        <f t="shared" si="21"/>
        <v>0</v>
      </c>
      <c r="AH23" s="17">
        <f t="shared" si="22"/>
        <v>1</v>
      </c>
      <c r="AI23" s="25" t="str">
        <f t="shared" si="6"/>
        <v xml:space="preserve"> </v>
      </c>
      <c r="AJ23" s="25" t="str">
        <f t="shared" si="7"/>
        <v xml:space="preserve"> </v>
      </c>
      <c r="AK23" s="25" t="str">
        <f t="shared" si="7"/>
        <v xml:space="preserve"> </v>
      </c>
      <c r="AL23" s="16" t="str">
        <f t="shared" si="7"/>
        <v xml:space="preserve"> </v>
      </c>
      <c r="AN23" s="25" t="str">
        <f t="shared" si="8"/>
        <v xml:space="preserve"> </v>
      </c>
      <c r="AO23" s="25" t="str">
        <f t="shared" si="9"/>
        <v xml:space="preserve"> </v>
      </c>
      <c r="AP23" s="25" t="str">
        <f t="shared" si="10"/>
        <v xml:space="preserve"> </v>
      </c>
      <c r="AQ23" s="25" t="str">
        <f t="shared" si="11"/>
        <v xml:space="preserve"> </v>
      </c>
      <c r="AR23" s="25" t="str">
        <f t="shared" si="23"/>
        <v xml:space="preserve"> </v>
      </c>
      <c r="AS23" s="17">
        <f t="shared" si="24"/>
        <v>2</v>
      </c>
      <c r="AT23" s="17">
        <f t="shared" si="25"/>
        <v>0</v>
      </c>
      <c r="AV23" s="22">
        <f>STANDARDIZE(C23,C41,C42)</f>
        <v>9.5346258924559224E-2</v>
      </c>
      <c r="AW23" s="22">
        <f>STANDARDIZE(D23,D41,D42)</f>
        <v>-0.63222600724584721</v>
      </c>
      <c r="AX23" s="3">
        <f t="shared" si="26"/>
        <v>2</v>
      </c>
      <c r="AY23" s="3">
        <f t="shared" si="27"/>
        <v>2</v>
      </c>
      <c r="AZ23" s="22">
        <f>STANDARDIZE(AX23,AX41,AX42)</f>
        <v>-0.45501748693406774</v>
      </c>
      <c r="BA23" s="22">
        <f>STANDARDIZE(AY23,AY41,AY42)</f>
        <v>0.5623869395420219</v>
      </c>
      <c r="BC23" s="22">
        <f t="shared" ref="BC23:BN23" si="88">STANDARDIZE(C23,C41,C42)</f>
        <v>9.5346258924559224E-2</v>
      </c>
      <c r="BD23" s="22">
        <f t="shared" si="88"/>
        <v>-0.63222600724584721</v>
      </c>
      <c r="BE23" s="22">
        <f t="shared" si="88"/>
        <v>-0.4509959436749138</v>
      </c>
      <c r="BF23" s="22">
        <f t="shared" si="88"/>
        <v>-0.57464408753430107</v>
      </c>
      <c r="BG23" s="22">
        <f t="shared" si="88"/>
        <v>-0.52243995676458588</v>
      </c>
      <c r="BH23" s="22">
        <f t="shared" si="88"/>
        <v>-0.64401788495707035</v>
      </c>
      <c r="BI23" s="22">
        <f t="shared" si="88"/>
        <v>2.4755831276640592</v>
      </c>
      <c r="BJ23" s="22">
        <f t="shared" si="88"/>
        <v>1.3341510784781832</v>
      </c>
      <c r="BK23" s="22">
        <f t="shared" si="88"/>
        <v>-0.48228762305428424</v>
      </c>
      <c r="BL23" s="22">
        <f t="shared" si="88"/>
        <v>-0.49172252823733775</v>
      </c>
      <c r="BM23" s="22">
        <f t="shared" si="88"/>
        <v>-0.18135590347243929</v>
      </c>
      <c r="BN23" s="22">
        <f t="shared" si="88"/>
        <v>0.50816124222658487</v>
      </c>
      <c r="BP23" s="26">
        <f t="shared" si="29"/>
        <v>0</v>
      </c>
      <c r="BQ23" s="22">
        <f>STANDARDIZE(BP23,BP41,BP42)</f>
        <v>-0.64768613876538961</v>
      </c>
      <c r="BR23" s="22">
        <f t="shared" si="30"/>
        <v>5</v>
      </c>
      <c r="BS23" s="22">
        <f>STANDARDIZE(BR23,BR41,BR42)</f>
        <v>-6.1032834175049289E-2</v>
      </c>
      <c r="BT23" s="22"/>
      <c r="BU23" s="26">
        <f t="shared" si="31"/>
        <v>9</v>
      </c>
      <c r="BV23" s="22">
        <f>STANDARDIZE(BU23,BU41,BU42)</f>
        <v>1.2850288455558991</v>
      </c>
      <c r="BW23" s="22"/>
      <c r="BX23" s="26">
        <f t="shared" si="32"/>
        <v>1</v>
      </c>
      <c r="BY23" s="22">
        <f>STANDARDIZE(BX23,BX41,BX42)</f>
        <v>-0.40342711466999148</v>
      </c>
      <c r="BZ23"/>
      <c r="CA23" s="4" t="str">
        <f t="shared" si="33"/>
        <v>0</v>
      </c>
      <c r="CB23" s="4" t="str">
        <f t="shared" si="34"/>
        <v>1</v>
      </c>
      <c r="CC23" s="4" t="str">
        <f t="shared" si="35"/>
        <v>1</v>
      </c>
      <c r="CD23" s="4">
        <f t="shared" si="36"/>
        <v>2</v>
      </c>
      <c r="CE23" s="4" t="str">
        <f t="shared" si="37"/>
        <v>0</v>
      </c>
      <c r="CF23" s="4" t="str">
        <f t="shared" si="38"/>
        <v>0</v>
      </c>
      <c r="CG23" s="4" t="str">
        <f t="shared" si="39"/>
        <v>0</v>
      </c>
      <c r="CH23" s="4">
        <f t="shared" si="40"/>
        <v>0</v>
      </c>
      <c r="CI23" s="4" t="str">
        <f t="shared" si="41"/>
        <v>0</v>
      </c>
      <c r="CJ23" s="4" t="str">
        <f t="shared" si="42"/>
        <v>0</v>
      </c>
      <c r="CK23" s="4" t="str">
        <f t="shared" si="42"/>
        <v>1</v>
      </c>
      <c r="CL23" s="4">
        <f t="shared" si="43"/>
        <v>1</v>
      </c>
      <c r="CM23" s="4" t="str">
        <f t="shared" si="44"/>
        <v>0</v>
      </c>
      <c r="CN23" s="4" t="str">
        <f t="shared" si="45"/>
        <v>0</v>
      </c>
      <c r="CO23" s="4" t="str">
        <f t="shared" si="46"/>
        <v>1</v>
      </c>
      <c r="CP23" s="4">
        <f t="shared" si="47"/>
        <v>1</v>
      </c>
      <c r="CQ23" s="4" t="str">
        <f t="shared" si="48"/>
        <v>0</v>
      </c>
      <c r="CR23" s="4" t="str">
        <f t="shared" si="49"/>
        <v>0</v>
      </c>
      <c r="CS23" s="4" t="str">
        <f t="shared" si="50"/>
        <v>1</v>
      </c>
      <c r="CT23" s="4" t="str">
        <f t="shared" si="51"/>
        <v>0</v>
      </c>
      <c r="CU23" s="4">
        <f t="shared" si="52"/>
        <v>1</v>
      </c>
    </row>
    <row r="24" spans="1:99" x14ac:dyDescent="0.25">
      <c r="A24">
        <v>21</v>
      </c>
      <c r="C24" s="6">
        <f t="shared" ref="C24:N24" si="89">COUNTIF(C50:C154,21)</f>
        <v>2</v>
      </c>
      <c r="D24" s="6">
        <f t="shared" si="89"/>
        <v>2</v>
      </c>
      <c r="E24" s="7">
        <f t="shared" si="89"/>
        <v>3</v>
      </c>
      <c r="F24" s="23">
        <f t="shared" si="89"/>
        <v>0</v>
      </c>
      <c r="G24" s="24">
        <f t="shared" si="89"/>
        <v>1</v>
      </c>
      <c r="H24" s="7">
        <f t="shared" si="89"/>
        <v>2</v>
      </c>
      <c r="I24" s="23">
        <f t="shared" si="89"/>
        <v>1</v>
      </c>
      <c r="J24" s="24">
        <f t="shared" si="89"/>
        <v>1</v>
      </c>
      <c r="K24" s="10">
        <f t="shared" si="89"/>
        <v>4</v>
      </c>
      <c r="L24" s="10">
        <f t="shared" si="89"/>
        <v>1</v>
      </c>
      <c r="M24" s="10">
        <f t="shared" si="89"/>
        <v>3</v>
      </c>
      <c r="N24" s="6">
        <f t="shared" si="89"/>
        <v>4</v>
      </c>
      <c r="Q24" s="83">
        <f t="shared" si="14"/>
        <v>4.5</v>
      </c>
      <c r="R24" s="84">
        <f t="shared" si="15"/>
        <v>1</v>
      </c>
      <c r="S24" s="84">
        <f t="shared" si="16"/>
        <v>1</v>
      </c>
      <c r="T24" s="84">
        <f t="shared" si="17"/>
        <v>2.5</v>
      </c>
      <c r="U24" s="16" t="str">
        <f t="shared" si="1"/>
        <v xml:space="preserve"> </v>
      </c>
      <c r="V24" s="16" t="str">
        <f t="shared" si="2"/>
        <v xml:space="preserve"> </v>
      </c>
      <c r="W24" s="16" t="str">
        <f t="shared" si="3"/>
        <v xml:space="preserve"> </v>
      </c>
      <c r="X24" s="16" t="str">
        <f t="shared" si="4"/>
        <v xml:space="preserve"> </v>
      </c>
      <c r="Z24" s="84">
        <f t="shared" si="18"/>
        <v>0.5</v>
      </c>
      <c r="AA24" s="62" t="str">
        <f t="shared" si="5"/>
        <v xml:space="preserve"> </v>
      </c>
      <c r="AB24" s="58"/>
      <c r="AC24" s="76" t="str">
        <f t="shared" si="19"/>
        <v xml:space="preserve">21 </v>
      </c>
      <c r="AE24" s="16">
        <f t="shared" si="20"/>
        <v>8</v>
      </c>
      <c r="AF24" s="17">
        <f t="shared" si="21"/>
        <v>4</v>
      </c>
      <c r="AG24" s="17">
        <f t="shared" si="21"/>
        <v>1</v>
      </c>
      <c r="AH24" s="17">
        <f t="shared" si="22"/>
        <v>3</v>
      </c>
      <c r="AI24" s="25" t="str">
        <f t="shared" si="6"/>
        <v xml:space="preserve"> </v>
      </c>
      <c r="AJ24" s="25" t="str">
        <f t="shared" si="7"/>
        <v xml:space="preserve"> </v>
      </c>
      <c r="AK24" s="25" t="str">
        <f t="shared" si="7"/>
        <v xml:space="preserve"> </v>
      </c>
      <c r="AL24" s="16" t="str">
        <f t="shared" si="7"/>
        <v xml:space="preserve"> </v>
      </c>
      <c r="AN24" s="25" t="str">
        <f t="shared" si="8"/>
        <v xml:space="preserve"> </v>
      </c>
      <c r="AO24" s="25" t="str">
        <f t="shared" si="9"/>
        <v xml:space="preserve"> </v>
      </c>
      <c r="AP24" s="25" t="str">
        <f t="shared" si="10"/>
        <v xml:space="preserve"> </v>
      </c>
      <c r="AQ24" s="25" t="str">
        <f t="shared" si="11"/>
        <v xml:space="preserve"> </v>
      </c>
      <c r="AR24" s="25" t="str">
        <f t="shared" si="23"/>
        <v>X</v>
      </c>
      <c r="AS24" s="17">
        <f t="shared" si="24"/>
        <v>2</v>
      </c>
      <c r="AT24" s="17">
        <f t="shared" si="25"/>
        <v>2</v>
      </c>
      <c r="AV24" s="22">
        <f>STANDARDIZE(C24,C41,C42)</f>
        <v>9.5346258924559224E-2</v>
      </c>
      <c r="AW24" s="22">
        <f>STANDARDIZE(D24,D41,D42)</f>
        <v>7.0247334138427459E-2</v>
      </c>
      <c r="AX24" s="3">
        <f t="shared" si="26"/>
        <v>4</v>
      </c>
      <c r="AY24" s="3">
        <f t="shared" si="27"/>
        <v>0</v>
      </c>
      <c r="AZ24" s="22">
        <f>STANDARDIZE(AX24,AX41,AX42)</f>
        <v>0.11375437173351691</v>
      </c>
      <c r="BA24" s="22">
        <f>STANDARDIZE(AY24,AY41,AY42)</f>
        <v>0</v>
      </c>
      <c r="BC24" s="22">
        <f t="shared" ref="BC24:BN24" si="90">STANDARDIZE(C24,C41,C42)</f>
        <v>9.5346258924559224E-2</v>
      </c>
      <c r="BD24" s="22">
        <f t="shared" si="90"/>
        <v>7.0247334138427459E-2</v>
      </c>
      <c r="BE24" s="22">
        <f t="shared" si="90"/>
        <v>0.30066396244994253</v>
      </c>
      <c r="BF24" s="22">
        <f t="shared" si="90"/>
        <v>-0.57464408753430107</v>
      </c>
      <c r="BG24" s="22">
        <f t="shared" si="90"/>
        <v>-0.23219553633981596</v>
      </c>
      <c r="BH24" s="22">
        <f t="shared" si="90"/>
        <v>7.1557542773007798E-2</v>
      </c>
      <c r="BI24" s="22">
        <f t="shared" si="90"/>
        <v>-0.27506479196267325</v>
      </c>
      <c r="BJ24" s="22">
        <f t="shared" si="90"/>
        <v>-0.33353776961954579</v>
      </c>
      <c r="BK24" s="22">
        <f t="shared" si="90"/>
        <v>0.58946265039968071</v>
      </c>
      <c r="BL24" s="22">
        <f t="shared" si="90"/>
        <v>-0.21854334588326121</v>
      </c>
      <c r="BM24" s="22">
        <f t="shared" si="90"/>
        <v>0.27203385520865891</v>
      </c>
      <c r="BN24" s="22">
        <f t="shared" si="90"/>
        <v>0.93162894408207231</v>
      </c>
      <c r="BP24" s="26">
        <f t="shared" si="29"/>
        <v>5</v>
      </c>
      <c r="BQ24" s="22">
        <f>STANDARDIZE(BP24,BP41,BP42)</f>
        <v>0.25187794285320703</v>
      </c>
      <c r="BR24" s="22">
        <f t="shared" si="30"/>
        <v>4.5</v>
      </c>
      <c r="BS24" s="22">
        <f>STANDARDIZE(BR24,BR41,BR42)</f>
        <v>-0.13732387689386083</v>
      </c>
      <c r="BT24" s="22"/>
      <c r="BU24" s="26">
        <f t="shared" si="31"/>
        <v>1</v>
      </c>
      <c r="BV24" s="22">
        <f>STANDARDIZE(BU24,BU41,BU42)</f>
        <v>-0.61871759230469214</v>
      </c>
      <c r="BW24" s="22"/>
      <c r="BX24" s="26">
        <f t="shared" si="32"/>
        <v>8</v>
      </c>
      <c r="BY24" s="22">
        <f>STANDARDIZE(BX24,BX41,BX42)</f>
        <v>0.23838874957772219</v>
      </c>
      <c r="BZ24"/>
      <c r="CA24" s="4" t="str">
        <f t="shared" si="33"/>
        <v>0</v>
      </c>
      <c r="CB24" s="4" t="str">
        <f t="shared" si="34"/>
        <v>1</v>
      </c>
      <c r="CC24" s="4" t="str">
        <f t="shared" si="35"/>
        <v>0</v>
      </c>
      <c r="CD24" s="4">
        <f t="shared" si="36"/>
        <v>1</v>
      </c>
      <c r="CE24" s="4" t="str">
        <f t="shared" si="37"/>
        <v>0</v>
      </c>
      <c r="CF24" s="4" t="str">
        <f t="shared" si="38"/>
        <v>1</v>
      </c>
      <c r="CG24" s="4" t="str">
        <f t="shared" si="39"/>
        <v>0</v>
      </c>
      <c r="CH24" s="4">
        <f t="shared" si="40"/>
        <v>1</v>
      </c>
      <c r="CI24" s="4" t="str">
        <f t="shared" si="41"/>
        <v>0</v>
      </c>
      <c r="CJ24" s="4" t="str">
        <f t="shared" si="42"/>
        <v>0</v>
      </c>
      <c r="CK24" s="4" t="str">
        <f t="shared" si="42"/>
        <v>0</v>
      </c>
      <c r="CL24" s="4">
        <f t="shared" si="43"/>
        <v>0</v>
      </c>
      <c r="CM24" s="4" t="str">
        <f t="shared" si="44"/>
        <v>0</v>
      </c>
      <c r="CN24" s="4" t="str">
        <f t="shared" si="45"/>
        <v>1</v>
      </c>
      <c r="CO24" s="4" t="str">
        <f t="shared" si="46"/>
        <v>1</v>
      </c>
      <c r="CP24" s="4">
        <f t="shared" si="47"/>
        <v>2</v>
      </c>
      <c r="CQ24" s="4" t="str">
        <f t="shared" si="48"/>
        <v>0</v>
      </c>
      <c r="CR24" s="4" t="str">
        <f t="shared" si="49"/>
        <v>0</v>
      </c>
      <c r="CS24" s="4" t="str">
        <f t="shared" si="50"/>
        <v>0</v>
      </c>
      <c r="CT24" s="4" t="str">
        <f t="shared" si="51"/>
        <v>0</v>
      </c>
      <c r="CU24" s="4">
        <f t="shared" si="52"/>
        <v>0</v>
      </c>
    </row>
    <row r="25" spans="1:99" x14ac:dyDescent="0.25">
      <c r="A25">
        <v>22</v>
      </c>
      <c r="C25" s="6">
        <f t="shared" ref="C25:N25" si="91">COUNTIF(C50:C154,22)</f>
        <v>0</v>
      </c>
      <c r="D25" s="6">
        <f t="shared" si="91"/>
        <v>0</v>
      </c>
      <c r="E25" s="7">
        <f t="shared" si="91"/>
        <v>0</v>
      </c>
      <c r="F25" s="23">
        <f t="shared" si="91"/>
        <v>0</v>
      </c>
      <c r="G25" s="24">
        <f t="shared" si="91"/>
        <v>0</v>
      </c>
      <c r="H25" s="7">
        <f t="shared" si="91"/>
        <v>0</v>
      </c>
      <c r="I25" s="23">
        <f t="shared" si="91"/>
        <v>0</v>
      </c>
      <c r="J25" s="24">
        <f t="shared" si="91"/>
        <v>0</v>
      </c>
      <c r="K25" s="10">
        <f t="shared" si="91"/>
        <v>0</v>
      </c>
      <c r="L25" s="10">
        <f t="shared" si="91"/>
        <v>0</v>
      </c>
      <c r="M25" s="10">
        <f t="shared" si="91"/>
        <v>0</v>
      </c>
      <c r="N25" s="6">
        <f t="shared" si="91"/>
        <v>0</v>
      </c>
      <c r="Q25" s="83">
        <f t="shared" si="14"/>
        <v>0</v>
      </c>
      <c r="R25" s="84">
        <f t="shared" si="15"/>
        <v>0</v>
      </c>
      <c r="S25" s="84">
        <f t="shared" si="16"/>
        <v>0</v>
      </c>
      <c r="T25" s="84">
        <f t="shared" si="17"/>
        <v>0</v>
      </c>
      <c r="U25" s="16" t="str">
        <f t="shared" si="1"/>
        <v xml:space="preserve"> </v>
      </c>
      <c r="V25" s="16" t="str">
        <f t="shared" si="2"/>
        <v xml:space="preserve"> </v>
      </c>
      <c r="W25" s="16" t="str">
        <f t="shared" si="3"/>
        <v xml:space="preserve"> </v>
      </c>
      <c r="X25" s="16" t="str">
        <f t="shared" si="4"/>
        <v xml:space="preserve"> </v>
      </c>
      <c r="Z25" s="84">
        <f t="shared" si="18"/>
        <v>0</v>
      </c>
      <c r="AA25" s="62" t="str">
        <f t="shared" si="5"/>
        <v xml:space="preserve"> </v>
      </c>
      <c r="AB25" s="58"/>
      <c r="AC25" s="76" t="str">
        <f t="shared" si="19"/>
        <v xml:space="preserve">22 </v>
      </c>
      <c r="AE25" s="16">
        <f t="shared" si="20"/>
        <v>0</v>
      </c>
      <c r="AF25" s="17">
        <f t="shared" si="21"/>
        <v>0</v>
      </c>
      <c r="AG25" s="17">
        <f t="shared" si="21"/>
        <v>0</v>
      </c>
      <c r="AH25" s="17">
        <f t="shared" si="22"/>
        <v>0</v>
      </c>
      <c r="AI25" s="25" t="str">
        <f t="shared" si="6"/>
        <v xml:space="preserve"> </v>
      </c>
      <c r="AJ25" s="25" t="str">
        <f t="shared" si="7"/>
        <v xml:space="preserve"> </v>
      </c>
      <c r="AK25" s="25" t="str">
        <f t="shared" si="7"/>
        <v xml:space="preserve"> </v>
      </c>
      <c r="AL25" s="16" t="str">
        <f t="shared" si="7"/>
        <v xml:space="preserve"> </v>
      </c>
      <c r="AN25" s="25" t="str">
        <f t="shared" si="8"/>
        <v xml:space="preserve"> </v>
      </c>
      <c r="AO25" s="25" t="str">
        <f t="shared" si="9"/>
        <v xml:space="preserve"> </v>
      </c>
      <c r="AP25" s="25" t="str">
        <f t="shared" si="10"/>
        <v>X</v>
      </c>
      <c r="AQ25" s="25" t="str">
        <f t="shared" si="11"/>
        <v xml:space="preserve"> </v>
      </c>
      <c r="AR25" s="25" t="str">
        <f t="shared" si="23"/>
        <v xml:space="preserve"> </v>
      </c>
      <c r="AS25" s="17">
        <f t="shared" si="24"/>
        <v>0</v>
      </c>
      <c r="AT25" s="17">
        <f t="shared" si="25"/>
        <v>0</v>
      </c>
      <c r="AV25" s="22">
        <f>STANDARDIZE(C25,C41,C42)</f>
        <v>-0.85811633032103318</v>
      </c>
      <c r="AW25" s="22">
        <f>STANDARDIZE(D25,D41,D42)</f>
        <v>-0.63222600724584721</v>
      </c>
      <c r="AX25" s="3">
        <f t="shared" si="26"/>
        <v>0</v>
      </c>
      <c r="AY25" s="3">
        <f t="shared" si="27"/>
        <v>0</v>
      </c>
      <c r="AZ25" s="22">
        <f>STANDARDIZE(AX25,AX41,AX42)</f>
        <v>-1.0237893456016525</v>
      </c>
      <c r="BA25" s="22">
        <f>STANDARDIZE(AY25,AY41,AY42)</f>
        <v>0</v>
      </c>
      <c r="BC25" s="22">
        <f t="shared" ref="BC25:BN25" si="92">STANDARDIZE(C25,C41,C42)</f>
        <v>-0.85811633032103318</v>
      </c>
      <c r="BD25" s="22">
        <f t="shared" si="92"/>
        <v>-0.63222600724584721</v>
      </c>
      <c r="BE25" s="22">
        <f t="shared" si="92"/>
        <v>-0.4509959436749138</v>
      </c>
      <c r="BF25" s="22">
        <f t="shared" si="92"/>
        <v>-0.57464408753430107</v>
      </c>
      <c r="BG25" s="22">
        <f t="shared" si="92"/>
        <v>-0.52243995676458588</v>
      </c>
      <c r="BH25" s="22">
        <f t="shared" si="92"/>
        <v>-0.64401788495707035</v>
      </c>
      <c r="BI25" s="22">
        <f t="shared" si="92"/>
        <v>-0.6188957819160148</v>
      </c>
      <c r="BJ25" s="22">
        <f t="shared" si="92"/>
        <v>-0.75045998164397798</v>
      </c>
      <c r="BK25" s="22">
        <f t="shared" si="92"/>
        <v>-0.48228762305428424</v>
      </c>
      <c r="BL25" s="22">
        <f t="shared" si="92"/>
        <v>-0.49172252823733775</v>
      </c>
      <c r="BM25" s="22">
        <f t="shared" si="92"/>
        <v>-0.4080507828129884</v>
      </c>
      <c r="BN25" s="22">
        <f t="shared" si="92"/>
        <v>-0.76224186333987731</v>
      </c>
      <c r="BP25" s="26">
        <f t="shared" si="29"/>
        <v>0</v>
      </c>
      <c r="BQ25" s="22">
        <f>STANDARDIZE(BP25,BP41,BP42)</f>
        <v>-0.64768613876538961</v>
      </c>
      <c r="BR25" s="22">
        <f t="shared" si="30"/>
        <v>0</v>
      </c>
      <c r="BS25" s="22">
        <f>STANDARDIZE(BR25,BR41,BR42)</f>
        <v>-0.82394326136316476</v>
      </c>
      <c r="BT25" s="22"/>
      <c r="BU25" s="26">
        <f t="shared" si="31"/>
        <v>0</v>
      </c>
      <c r="BV25" s="22">
        <f>STANDARDIZE(BU25,BU41,BU42)</f>
        <v>-0.85668589703726605</v>
      </c>
      <c r="BW25" s="22"/>
      <c r="BX25" s="26">
        <f t="shared" si="32"/>
        <v>0</v>
      </c>
      <c r="BY25" s="22">
        <f>STANDARDIZE(BX25,BX41,BX42)</f>
        <v>-0.49511509527680769</v>
      </c>
      <c r="BZ25"/>
      <c r="CA25" s="4" t="str">
        <f t="shared" si="33"/>
        <v>0</v>
      </c>
      <c r="CB25" s="4" t="str">
        <f t="shared" si="34"/>
        <v>0</v>
      </c>
      <c r="CC25" s="4" t="str">
        <f t="shared" si="35"/>
        <v>1</v>
      </c>
      <c r="CD25" s="4">
        <f t="shared" si="36"/>
        <v>1</v>
      </c>
      <c r="CE25" s="4" t="str">
        <f t="shared" si="37"/>
        <v>0</v>
      </c>
      <c r="CF25" s="4" t="str">
        <f t="shared" si="38"/>
        <v>0</v>
      </c>
      <c r="CG25" s="4" t="str">
        <f t="shared" si="39"/>
        <v>1</v>
      </c>
      <c r="CH25" s="4">
        <f t="shared" si="40"/>
        <v>1</v>
      </c>
      <c r="CI25" s="4" t="str">
        <f t="shared" si="41"/>
        <v>1</v>
      </c>
      <c r="CJ25" s="4" t="str">
        <f t="shared" si="42"/>
        <v>1</v>
      </c>
      <c r="CK25" s="4" t="str">
        <f t="shared" si="42"/>
        <v>1</v>
      </c>
      <c r="CL25" s="4">
        <f t="shared" si="43"/>
        <v>3</v>
      </c>
      <c r="CM25" s="4" t="str">
        <f t="shared" si="44"/>
        <v>0</v>
      </c>
      <c r="CN25" s="4" t="str">
        <f t="shared" si="45"/>
        <v>0</v>
      </c>
      <c r="CO25" s="4" t="str">
        <f t="shared" si="46"/>
        <v>0</v>
      </c>
      <c r="CP25" s="4">
        <f t="shared" si="47"/>
        <v>0</v>
      </c>
      <c r="CQ25" s="4" t="str">
        <f t="shared" si="48"/>
        <v>1</v>
      </c>
      <c r="CR25" s="4" t="str">
        <f t="shared" si="49"/>
        <v>0</v>
      </c>
      <c r="CS25" s="4" t="str">
        <f t="shared" si="50"/>
        <v>1</v>
      </c>
      <c r="CT25" s="4" t="str">
        <f t="shared" si="51"/>
        <v>0</v>
      </c>
      <c r="CU25" s="4">
        <f t="shared" si="52"/>
        <v>2</v>
      </c>
    </row>
    <row r="26" spans="1:99" x14ac:dyDescent="0.25">
      <c r="A26">
        <v>23</v>
      </c>
      <c r="C26" s="6">
        <f t="shared" ref="C26:N26" si="93">COUNTIF(C50:C154,23)</f>
        <v>0</v>
      </c>
      <c r="D26" s="6">
        <f t="shared" si="93"/>
        <v>0</v>
      </c>
      <c r="E26" s="7">
        <f t="shared" si="93"/>
        <v>0</v>
      </c>
      <c r="F26" s="23">
        <f t="shared" si="93"/>
        <v>0</v>
      </c>
      <c r="G26" s="24">
        <f t="shared" si="93"/>
        <v>0</v>
      </c>
      <c r="H26" s="7">
        <f t="shared" si="93"/>
        <v>0</v>
      </c>
      <c r="I26" s="23">
        <f t="shared" si="93"/>
        <v>0</v>
      </c>
      <c r="J26" s="24">
        <f t="shared" si="93"/>
        <v>0</v>
      </c>
      <c r="K26" s="10">
        <f t="shared" si="93"/>
        <v>0</v>
      </c>
      <c r="L26" s="10">
        <f t="shared" si="93"/>
        <v>0</v>
      </c>
      <c r="M26" s="10">
        <f t="shared" si="93"/>
        <v>0</v>
      </c>
      <c r="N26" s="6">
        <f t="shared" si="93"/>
        <v>0</v>
      </c>
      <c r="Q26" s="83">
        <f t="shared" si="14"/>
        <v>0</v>
      </c>
      <c r="R26" s="84">
        <f t="shared" si="15"/>
        <v>0</v>
      </c>
      <c r="S26" s="84">
        <f t="shared" si="16"/>
        <v>0</v>
      </c>
      <c r="T26" s="84">
        <f t="shared" si="17"/>
        <v>0</v>
      </c>
      <c r="U26" s="16" t="str">
        <f t="shared" si="1"/>
        <v xml:space="preserve"> </v>
      </c>
      <c r="V26" s="16" t="str">
        <f t="shared" si="2"/>
        <v xml:space="preserve"> </v>
      </c>
      <c r="W26" s="16" t="str">
        <f t="shared" si="3"/>
        <v xml:space="preserve"> </v>
      </c>
      <c r="X26" s="16" t="str">
        <f t="shared" si="4"/>
        <v xml:space="preserve"> </v>
      </c>
      <c r="Z26" s="84">
        <f t="shared" si="18"/>
        <v>0</v>
      </c>
      <c r="AA26" s="62" t="str">
        <f t="shared" si="5"/>
        <v xml:space="preserve"> </v>
      </c>
      <c r="AB26" s="58"/>
      <c r="AC26" s="76" t="str">
        <f t="shared" si="19"/>
        <v xml:space="preserve">23 </v>
      </c>
      <c r="AE26" s="16">
        <f t="shared" si="20"/>
        <v>0</v>
      </c>
      <c r="AF26" s="17">
        <f t="shared" si="21"/>
        <v>0</v>
      </c>
      <c r="AG26" s="17">
        <f t="shared" si="21"/>
        <v>0</v>
      </c>
      <c r="AH26" s="17">
        <f t="shared" si="22"/>
        <v>0</v>
      </c>
      <c r="AI26" s="25" t="str">
        <f t="shared" si="6"/>
        <v xml:space="preserve"> </v>
      </c>
      <c r="AJ26" s="25" t="str">
        <f t="shared" si="7"/>
        <v xml:space="preserve"> </v>
      </c>
      <c r="AK26" s="25" t="str">
        <f t="shared" si="7"/>
        <v xml:space="preserve"> </v>
      </c>
      <c r="AL26" s="16" t="str">
        <f t="shared" si="7"/>
        <v xml:space="preserve"> </v>
      </c>
      <c r="AN26" s="25" t="str">
        <f t="shared" si="8"/>
        <v xml:space="preserve"> </v>
      </c>
      <c r="AO26" s="25" t="str">
        <f t="shared" si="9"/>
        <v xml:space="preserve"> </v>
      </c>
      <c r="AP26" s="25" t="str">
        <f t="shared" si="10"/>
        <v>X</v>
      </c>
      <c r="AQ26" s="25" t="str">
        <f t="shared" si="11"/>
        <v xml:space="preserve"> </v>
      </c>
      <c r="AR26" s="25" t="str">
        <f t="shared" si="23"/>
        <v xml:space="preserve"> </v>
      </c>
      <c r="AS26" s="17">
        <f t="shared" si="24"/>
        <v>0</v>
      </c>
      <c r="AT26" s="17">
        <f t="shared" si="25"/>
        <v>0</v>
      </c>
      <c r="AV26" s="22">
        <f>STANDARDIZE(C26,C41,C42)</f>
        <v>-0.85811633032103318</v>
      </c>
      <c r="AW26" s="22">
        <f>STANDARDIZE(D26,D41,D42)</f>
        <v>-0.63222600724584721</v>
      </c>
      <c r="AX26" s="3">
        <f t="shared" si="26"/>
        <v>0</v>
      </c>
      <c r="AY26" s="3">
        <f t="shared" si="27"/>
        <v>0</v>
      </c>
      <c r="AZ26" s="22">
        <f>STANDARDIZE(AX26,AX41,AX42)</f>
        <v>-1.0237893456016525</v>
      </c>
      <c r="BA26" s="22">
        <f>STANDARDIZE(AY26,AY41,AY42)</f>
        <v>0</v>
      </c>
      <c r="BC26" s="22">
        <f t="shared" ref="BC26:BN26" si="94">STANDARDIZE(C26,C41,C42)</f>
        <v>-0.85811633032103318</v>
      </c>
      <c r="BD26" s="22">
        <f t="shared" si="94"/>
        <v>-0.63222600724584721</v>
      </c>
      <c r="BE26" s="22">
        <f t="shared" si="94"/>
        <v>-0.4509959436749138</v>
      </c>
      <c r="BF26" s="22">
        <f t="shared" si="94"/>
        <v>-0.57464408753430107</v>
      </c>
      <c r="BG26" s="22">
        <f t="shared" si="94"/>
        <v>-0.52243995676458588</v>
      </c>
      <c r="BH26" s="22">
        <f t="shared" si="94"/>
        <v>-0.64401788495707035</v>
      </c>
      <c r="BI26" s="22">
        <f t="shared" si="94"/>
        <v>-0.6188957819160148</v>
      </c>
      <c r="BJ26" s="22">
        <f t="shared" si="94"/>
        <v>-0.75045998164397798</v>
      </c>
      <c r="BK26" s="22">
        <f t="shared" si="94"/>
        <v>-0.48228762305428424</v>
      </c>
      <c r="BL26" s="22">
        <f t="shared" si="94"/>
        <v>-0.49172252823733775</v>
      </c>
      <c r="BM26" s="22">
        <f t="shared" si="94"/>
        <v>-0.4080507828129884</v>
      </c>
      <c r="BN26" s="22">
        <f t="shared" si="94"/>
        <v>-0.76224186333987731</v>
      </c>
      <c r="BP26" s="26">
        <f t="shared" si="29"/>
        <v>0</v>
      </c>
      <c r="BQ26" s="22">
        <f>STANDARDIZE(BP26,BP41,BP42)</f>
        <v>-0.64768613876538961</v>
      </c>
      <c r="BR26" s="22">
        <f t="shared" si="30"/>
        <v>0</v>
      </c>
      <c r="BS26" s="22">
        <f>STANDARDIZE(BR26,BR41,BR42)</f>
        <v>-0.82394326136316476</v>
      </c>
      <c r="BT26" s="22"/>
      <c r="BU26" s="26">
        <f t="shared" si="31"/>
        <v>0</v>
      </c>
      <c r="BV26" s="22">
        <f>STANDARDIZE(BU26,BU41,BU42)</f>
        <v>-0.85668589703726605</v>
      </c>
      <c r="BW26" s="22"/>
      <c r="BX26" s="26">
        <f t="shared" si="32"/>
        <v>0</v>
      </c>
      <c r="BY26" s="22">
        <f>STANDARDIZE(BX26,BX41,BX42)</f>
        <v>-0.49511509527680769</v>
      </c>
      <c r="BZ26"/>
      <c r="CA26" s="4" t="str">
        <f t="shared" si="33"/>
        <v>0</v>
      </c>
      <c r="CB26" s="4" t="str">
        <f t="shared" si="34"/>
        <v>0</v>
      </c>
      <c r="CC26" s="4" t="str">
        <f t="shared" si="35"/>
        <v>1</v>
      </c>
      <c r="CD26" s="4">
        <f t="shared" si="36"/>
        <v>1</v>
      </c>
      <c r="CE26" s="4" t="str">
        <f t="shared" si="37"/>
        <v>0</v>
      </c>
      <c r="CF26" s="4" t="str">
        <f t="shared" si="38"/>
        <v>0</v>
      </c>
      <c r="CG26" s="4" t="str">
        <f t="shared" si="39"/>
        <v>1</v>
      </c>
      <c r="CH26" s="4">
        <f t="shared" si="40"/>
        <v>1</v>
      </c>
      <c r="CI26" s="4" t="str">
        <f t="shared" si="41"/>
        <v>1</v>
      </c>
      <c r="CJ26" s="4" t="str">
        <f t="shared" si="42"/>
        <v>1</v>
      </c>
      <c r="CK26" s="4" t="str">
        <f t="shared" si="42"/>
        <v>1</v>
      </c>
      <c r="CL26" s="4">
        <f t="shared" si="43"/>
        <v>3</v>
      </c>
      <c r="CM26" s="4" t="str">
        <f t="shared" si="44"/>
        <v>0</v>
      </c>
      <c r="CN26" s="4" t="str">
        <f t="shared" si="45"/>
        <v>0</v>
      </c>
      <c r="CO26" s="4" t="str">
        <f t="shared" si="46"/>
        <v>0</v>
      </c>
      <c r="CP26" s="4">
        <f t="shared" si="47"/>
        <v>0</v>
      </c>
      <c r="CQ26" s="4" t="str">
        <f t="shared" si="48"/>
        <v>1</v>
      </c>
      <c r="CR26" s="4" t="str">
        <f t="shared" si="49"/>
        <v>0</v>
      </c>
      <c r="CS26" s="4" t="str">
        <f t="shared" si="50"/>
        <v>1</v>
      </c>
      <c r="CT26" s="4" t="str">
        <f t="shared" si="51"/>
        <v>0</v>
      </c>
      <c r="CU26" s="4">
        <f t="shared" si="52"/>
        <v>2</v>
      </c>
    </row>
    <row r="27" spans="1:99" x14ac:dyDescent="0.25">
      <c r="A27">
        <v>24</v>
      </c>
      <c r="C27" s="6">
        <f t="shared" ref="C27:N27" si="95">COUNTIF(C50:C154,24)</f>
        <v>0</v>
      </c>
      <c r="D27" s="6">
        <f t="shared" si="95"/>
        <v>0</v>
      </c>
      <c r="E27" s="7">
        <f t="shared" si="95"/>
        <v>0</v>
      </c>
      <c r="F27" s="23">
        <f t="shared" si="95"/>
        <v>0</v>
      </c>
      <c r="G27" s="24">
        <f t="shared" si="95"/>
        <v>0</v>
      </c>
      <c r="H27" s="7">
        <f t="shared" si="95"/>
        <v>0</v>
      </c>
      <c r="I27" s="23">
        <f t="shared" si="95"/>
        <v>0</v>
      </c>
      <c r="J27" s="24">
        <f t="shared" si="95"/>
        <v>0</v>
      </c>
      <c r="K27" s="10">
        <f t="shared" si="95"/>
        <v>0</v>
      </c>
      <c r="L27" s="10">
        <f t="shared" si="95"/>
        <v>0</v>
      </c>
      <c r="M27" s="10">
        <f t="shared" si="95"/>
        <v>0</v>
      </c>
      <c r="N27" s="6">
        <f t="shared" si="95"/>
        <v>0</v>
      </c>
      <c r="Q27" s="83">
        <f t="shared" si="14"/>
        <v>0</v>
      </c>
      <c r="R27" s="84">
        <f t="shared" si="15"/>
        <v>0</v>
      </c>
      <c r="S27" s="84">
        <f t="shared" si="16"/>
        <v>0</v>
      </c>
      <c r="T27" s="84">
        <f t="shared" si="17"/>
        <v>0</v>
      </c>
      <c r="U27" s="16" t="str">
        <f t="shared" si="1"/>
        <v xml:space="preserve"> </v>
      </c>
      <c r="V27" s="16" t="str">
        <f t="shared" si="2"/>
        <v xml:space="preserve"> </v>
      </c>
      <c r="W27" s="16" t="str">
        <f t="shared" si="3"/>
        <v xml:space="preserve"> </v>
      </c>
      <c r="X27" s="16" t="str">
        <f t="shared" si="4"/>
        <v xml:space="preserve"> </v>
      </c>
      <c r="Z27" s="84">
        <f t="shared" si="18"/>
        <v>0</v>
      </c>
      <c r="AA27" s="62" t="str">
        <f t="shared" si="5"/>
        <v xml:space="preserve"> </v>
      </c>
      <c r="AB27" s="58"/>
      <c r="AC27" s="76" t="str">
        <f t="shared" si="19"/>
        <v xml:space="preserve">24 </v>
      </c>
      <c r="AE27" s="16">
        <f t="shared" si="20"/>
        <v>0</v>
      </c>
      <c r="AF27" s="17">
        <f t="shared" si="21"/>
        <v>0</v>
      </c>
      <c r="AG27" s="17">
        <f t="shared" si="21"/>
        <v>0</v>
      </c>
      <c r="AH27" s="17">
        <f t="shared" si="22"/>
        <v>0</v>
      </c>
      <c r="AI27" s="25" t="str">
        <f t="shared" si="6"/>
        <v xml:space="preserve"> </v>
      </c>
      <c r="AJ27" s="25" t="str">
        <f t="shared" si="7"/>
        <v xml:space="preserve"> </v>
      </c>
      <c r="AK27" s="25" t="str">
        <f t="shared" si="7"/>
        <v xml:space="preserve"> </v>
      </c>
      <c r="AL27" s="16" t="str">
        <f t="shared" si="7"/>
        <v xml:space="preserve"> </v>
      </c>
      <c r="AN27" s="25" t="str">
        <f t="shared" si="8"/>
        <v xml:space="preserve"> </v>
      </c>
      <c r="AO27" s="25" t="str">
        <f t="shared" si="9"/>
        <v xml:space="preserve"> </v>
      </c>
      <c r="AP27" s="25" t="str">
        <f t="shared" si="10"/>
        <v>X</v>
      </c>
      <c r="AQ27" s="25" t="str">
        <f t="shared" si="11"/>
        <v xml:space="preserve"> </v>
      </c>
      <c r="AR27" s="25" t="str">
        <f t="shared" si="23"/>
        <v xml:space="preserve"> </v>
      </c>
      <c r="AS27" s="17">
        <f t="shared" si="24"/>
        <v>0</v>
      </c>
      <c r="AT27" s="17">
        <f t="shared" si="25"/>
        <v>0</v>
      </c>
      <c r="AV27" s="22">
        <f>STANDARDIZE(C27,C41,C42)</f>
        <v>-0.85811633032103318</v>
      </c>
      <c r="AW27" s="22">
        <f>STANDARDIZE(D27,D41,D42)</f>
        <v>-0.63222600724584721</v>
      </c>
      <c r="AX27" s="3">
        <f t="shared" si="26"/>
        <v>0</v>
      </c>
      <c r="AY27" s="3">
        <f t="shared" si="27"/>
        <v>0</v>
      </c>
      <c r="AZ27" s="22">
        <f>STANDARDIZE(AX27,AX41,AX42)</f>
        <v>-1.0237893456016525</v>
      </c>
      <c r="BA27" s="22">
        <f>STANDARDIZE(AY27,AY41,AY42)</f>
        <v>0</v>
      </c>
      <c r="BC27" s="22">
        <f t="shared" ref="BC27:BN27" si="96">STANDARDIZE(C27,C41,C42)</f>
        <v>-0.85811633032103318</v>
      </c>
      <c r="BD27" s="22">
        <f t="shared" si="96"/>
        <v>-0.63222600724584721</v>
      </c>
      <c r="BE27" s="22">
        <f t="shared" si="96"/>
        <v>-0.4509959436749138</v>
      </c>
      <c r="BF27" s="22">
        <f t="shared" si="96"/>
        <v>-0.57464408753430107</v>
      </c>
      <c r="BG27" s="22">
        <f t="shared" si="96"/>
        <v>-0.52243995676458588</v>
      </c>
      <c r="BH27" s="22">
        <f t="shared" si="96"/>
        <v>-0.64401788495707035</v>
      </c>
      <c r="BI27" s="22">
        <f t="shared" si="96"/>
        <v>-0.6188957819160148</v>
      </c>
      <c r="BJ27" s="22">
        <f t="shared" si="96"/>
        <v>-0.75045998164397798</v>
      </c>
      <c r="BK27" s="22">
        <f t="shared" si="96"/>
        <v>-0.48228762305428424</v>
      </c>
      <c r="BL27" s="22">
        <f t="shared" si="96"/>
        <v>-0.49172252823733775</v>
      </c>
      <c r="BM27" s="22">
        <f t="shared" si="96"/>
        <v>-0.4080507828129884</v>
      </c>
      <c r="BN27" s="22">
        <f t="shared" si="96"/>
        <v>-0.76224186333987731</v>
      </c>
      <c r="BP27" s="26">
        <f t="shared" si="29"/>
        <v>0</v>
      </c>
      <c r="BQ27" s="22">
        <f>STANDARDIZE(BP27,BP41,BP42)</f>
        <v>-0.64768613876538961</v>
      </c>
      <c r="BR27" s="22">
        <f t="shared" si="30"/>
        <v>0</v>
      </c>
      <c r="BS27" s="22">
        <f>STANDARDIZE(BR27,BR41,BR42)</f>
        <v>-0.82394326136316476</v>
      </c>
      <c r="BT27" s="22"/>
      <c r="BU27" s="26">
        <f t="shared" si="31"/>
        <v>0</v>
      </c>
      <c r="BV27" s="22">
        <f>STANDARDIZE(BU27,BU41,BU42)</f>
        <v>-0.85668589703726605</v>
      </c>
      <c r="BW27" s="22"/>
      <c r="BX27" s="26">
        <f t="shared" si="32"/>
        <v>0</v>
      </c>
      <c r="BY27" s="22">
        <f>STANDARDIZE(BX27,BX41,BX42)</f>
        <v>-0.49511509527680769</v>
      </c>
      <c r="BZ27"/>
      <c r="CA27" s="4" t="str">
        <f t="shared" si="33"/>
        <v>0</v>
      </c>
      <c r="CB27" s="4" t="str">
        <f t="shared" si="34"/>
        <v>0</v>
      </c>
      <c r="CC27" s="4" t="str">
        <f t="shared" si="35"/>
        <v>1</v>
      </c>
      <c r="CD27" s="4">
        <f t="shared" si="36"/>
        <v>1</v>
      </c>
      <c r="CE27" s="4" t="str">
        <f t="shared" si="37"/>
        <v>0</v>
      </c>
      <c r="CF27" s="4" t="str">
        <f t="shared" si="38"/>
        <v>0</v>
      </c>
      <c r="CG27" s="4" t="str">
        <f t="shared" si="39"/>
        <v>1</v>
      </c>
      <c r="CH27" s="4">
        <f t="shared" si="40"/>
        <v>1</v>
      </c>
      <c r="CI27" s="4" t="str">
        <f t="shared" si="41"/>
        <v>1</v>
      </c>
      <c r="CJ27" s="4" t="str">
        <f t="shared" si="42"/>
        <v>1</v>
      </c>
      <c r="CK27" s="4" t="str">
        <f t="shared" si="42"/>
        <v>1</v>
      </c>
      <c r="CL27" s="4">
        <f t="shared" si="43"/>
        <v>3</v>
      </c>
      <c r="CM27" s="4" t="str">
        <f t="shared" si="44"/>
        <v>0</v>
      </c>
      <c r="CN27" s="4" t="str">
        <f t="shared" si="45"/>
        <v>0</v>
      </c>
      <c r="CO27" s="4" t="str">
        <f t="shared" si="46"/>
        <v>0</v>
      </c>
      <c r="CP27" s="4">
        <f t="shared" si="47"/>
        <v>0</v>
      </c>
      <c r="CQ27" s="4" t="str">
        <f t="shared" si="48"/>
        <v>1</v>
      </c>
      <c r="CR27" s="4" t="str">
        <f t="shared" si="49"/>
        <v>0</v>
      </c>
      <c r="CS27" s="4" t="str">
        <f t="shared" si="50"/>
        <v>1</v>
      </c>
      <c r="CT27" s="4" t="str">
        <f t="shared" si="51"/>
        <v>0</v>
      </c>
      <c r="CU27" s="4">
        <f t="shared" si="52"/>
        <v>2</v>
      </c>
    </row>
    <row r="28" spans="1:99" x14ac:dyDescent="0.25">
      <c r="A28">
        <v>25</v>
      </c>
      <c r="C28" s="6">
        <f t="shared" ref="C28:N28" si="97">COUNTIF(C50:C154,25)</f>
        <v>0</v>
      </c>
      <c r="D28" s="6">
        <f t="shared" si="97"/>
        <v>0</v>
      </c>
      <c r="E28" s="7">
        <f t="shared" si="97"/>
        <v>0</v>
      </c>
      <c r="F28" s="23">
        <f t="shared" si="97"/>
        <v>0</v>
      </c>
      <c r="G28" s="24">
        <f t="shared" si="97"/>
        <v>0</v>
      </c>
      <c r="H28" s="7">
        <f t="shared" si="97"/>
        <v>0</v>
      </c>
      <c r="I28" s="23">
        <f t="shared" si="97"/>
        <v>0</v>
      </c>
      <c r="J28" s="24">
        <f t="shared" si="97"/>
        <v>0</v>
      </c>
      <c r="K28" s="10">
        <f t="shared" si="97"/>
        <v>0</v>
      </c>
      <c r="L28" s="10">
        <f t="shared" si="97"/>
        <v>0</v>
      </c>
      <c r="M28" s="10">
        <f t="shared" si="97"/>
        <v>0</v>
      </c>
      <c r="N28" s="6">
        <f t="shared" si="97"/>
        <v>0</v>
      </c>
      <c r="Q28" s="83">
        <f t="shared" si="14"/>
        <v>0</v>
      </c>
      <c r="R28" s="84">
        <f t="shared" si="15"/>
        <v>0</v>
      </c>
      <c r="S28" s="84">
        <f t="shared" si="16"/>
        <v>0</v>
      </c>
      <c r="T28" s="84">
        <f t="shared" si="17"/>
        <v>0</v>
      </c>
      <c r="U28" s="16" t="str">
        <f t="shared" si="1"/>
        <v xml:space="preserve"> </v>
      </c>
      <c r="V28" s="16" t="str">
        <f t="shared" si="2"/>
        <v xml:space="preserve"> </v>
      </c>
      <c r="W28" s="16" t="str">
        <f t="shared" si="3"/>
        <v xml:space="preserve"> </v>
      </c>
      <c r="X28" s="16" t="str">
        <f t="shared" si="4"/>
        <v xml:space="preserve"> </v>
      </c>
      <c r="Z28" s="84">
        <f t="shared" si="18"/>
        <v>0</v>
      </c>
      <c r="AA28" s="62" t="str">
        <f t="shared" si="5"/>
        <v xml:space="preserve"> </v>
      </c>
      <c r="AB28" s="58"/>
      <c r="AC28" s="76" t="str">
        <f t="shared" si="19"/>
        <v xml:space="preserve">25 </v>
      </c>
      <c r="AE28" s="16">
        <f t="shared" si="20"/>
        <v>0</v>
      </c>
      <c r="AF28" s="17">
        <f t="shared" si="21"/>
        <v>0</v>
      </c>
      <c r="AG28" s="17">
        <f t="shared" si="21"/>
        <v>0</v>
      </c>
      <c r="AH28" s="17">
        <f t="shared" si="22"/>
        <v>0</v>
      </c>
      <c r="AI28" s="25" t="str">
        <f t="shared" si="6"/>
        <v xml:space="preserve"> </v>
      </c>
      <c r="AJ28" s="25" t="str">
        <f t="shared" si="7"/>
        <v xml:space="preserve"> </v>
      </c>
      <c r="AK28" s="25" t="str">
        <f t="shared" si="7"/>
        <v xml:space="preserve"> </v>
      </c>
      <c r="AL28" s="16" t="str">
        <f t="shared" si="7"/>
        <v xml:space="preserve"> </v>
      </c>
      <c r="AN28" s="25" t="str">
        <f t="shared" si="8"/>
        <v xml:space="preserve"> </v>
      </c>
      <c r="AO28" s="25" t="str">
        <f t="shared" si="9"/>
        <v xml:space="preserve"> </v>
      </c>
      <c r="AP28" s="25" t="str">
        <f t="shared" si="10"/>
        <v>X</v>
      </c>
      <c r="AQ28" s="25" t="str">
        <f t="shared" si="11"/>
        <v xml:space="preserve"> </v>
      </c>
      <c r="AR28" s="25" t="str">
        <f t="shared" si="23"/>
        <v xml:space="preserve"> </v>
      </c>
      <c r="AS28" s="17">
        <f t="shared" si="24"/>
        <v>0</v>
      </c>
      <c r="AT28" s="17">
        <f t="shared" si="25"/>
        <v>0</v>
      </c>
      <c r="AV28" s="22">
        <f>STANDARDIZE(C28,C41,C42)</f>
        <v>-0.85811633032103318</v>
      </c>
      <c r="AW28" s="22">
        <f>STANDARDIZE(D28,D41,D42)</f>
        <v>-0.63222600724584721</v>
      </c>
      <c r="AX28" s="3">
        <f t="shared" si="26"/>
        <v>0</v>
      </c>
      <c r="AY28" s="3">
        <f t="shared" si="27"/>
        <v>0</v>
      </c>
      <c r="AZ28" s="22">
        <f>STANDARDIZE(AX28,AX41,AX42)</f>
        <v>-1.0237893456016525</v>
      </c>
      <c r="BA28" s="22">
        <f>STANDARDIZE(AY28,AY41,AY42)</f>
        <v>0</v>
      </c>
      <c r="BC28" s="22">
        <f t="shared" ref="BC28:BN28" si="98">STANDARDIZE(C28,C41,C42)</f>
        <v>-0.85811633032103318</v>
      </c>
      <c r="BD28" s="22">
        <f t="shared" si="98"/>
        <v>-0.63222600724584721</v>
      </c>
      <c r="BE28" s="22">
        <f t="shared" si="98"/>
        <v>-0.4509959436749138</v>
      </c>
      <c r="BF28" s="22">
        <f t="shared" si="98"/>
        <v>-0.57464408753430107</v>
      </c>
      <c r="BG28" s="22">
        <f t="shared" si="98"/>
        <v>-0.52243995676458588</v>
      </c>
      <c r="BH28" s="22">
        <f t="shared" si="98"/>
        <v>-0.64401788495707035</v>
      </c>
      <c r="BI28" s="22">
        <f t="shared" si="98"/>
        <v>-0.6188957819160148</v>
      </c>
      <c r="BJ28" s="22">
        <f t="shared" si="98"/>
        <v>-0.75045998164397798</v>
      </c>
      <c r="BK28" s="22">
        <f t="shared" si="98"/>
        <v>-0.48228762305428424</v>
      </c>
      <c r="BL28" s="22">
        <f t="shared" si="98"/>
        <v>-0.49172252823733775</v>
      </c>
      <c r="BM28" s="22">
        <f t="shared" si="98"/>
        <v>-0.4080507828129884</v>
      </c>
      <c r="BN28" s="22">
        <f t="shared" si="98"/>
        <v>-0.76224186333987731</v>
      </c>
      <c r="BP28" s="26">
        <f t="shared" si="29"/>
        <v>0</v>
      </c>
      <c r="BQ28" s="22">
        <f>STANDARDIZE(BP28,BP41,BP42)</f>
        <v>-0.64768613876538961</v>
      </c>
      <c r="BR28" s="22">
        <f t="shared" si="30"/>
        <v>0</v>
      </c>
      <c r="BS28" s="22">
        <f>STANDARDIZE(BR28,BR41,BR42)</f>
        <v>-0.82394326136316476</v>
      </c>
      <c r="BT28" s="22"/>
      <c r="BU28" s="26">
        <f t="shared" si="31"/>
        <v>0</v>
      </c>
      <c r="BV28" s="22">
        <f>STANDARDIZE(BU28,BU41,BU42)</f>
        <v>-0.85668589703726605</v>
      </c>
      <c r="BW28" s="22"/>
      <c r="BX28" s="26">
        <f t="shared" si="32"/>
        <v>0</v>
      </c>
      <c r="BY28" s="22">
        <f>STANDARDIZE(BX28,BX41,BX42)</f>
        <v>-0.49511509527680769</v>
      </c>
      <c r="BZ28"/>
      <c r="CA28" s="4" t="str">
        <f t="shared" si="33"/>
        <v>0</v>
      </c>
      <c r="CB28" s="4" t="str">
        <f t="shared" si="34"/>
        <v>0</v>
      </c>
      <c r="CC28" s="4" t="str">
        <f t="shared" si="35"/>
        <v>1</v>
      </c>
      <c r="CD28" s="4">
        <f t="shared" si="36"/>
        <v>1</v>
      </c>
      <c r="CE28" s="4" t="str">
        <f t="shared" si="37"/>
        <v>0</v>
      </c>
      <c r="CF28" s="4" t="str">
        <f t="shared" si="38"/>
        <v>0</v>
      </c>
      <c r="CG28" s="4" t="str">
        <f t="shared" si="39"/>
        <v>1</v>
      </c>
      <c r="CH28" s="4">
        <f t="shared" si="40"/>
        <v>1</v>
      </c>
      <c r="CI28" s="4" t="str">
        <f t="shared" si="41"/>
        <v>1</v>
      </c>
      <c r="CJ28" s="4" t="str">
        <f t="shared" si="42"/>
        <v>1</v>
      </c>
      <c r="CK28" s="4" t="str">
        <f t="shared" si="42"/>
        <v>1</v>
      </c>
      <c r="CL28" s="4">
        <f t="shared" si="43"/>
        <v>3</v>
      </c>
      <c r="CM28" s="4" t="str">
        <f t="shared" si="44"/>
        <v>0</v>
      </c>
      <c r="CN28" s="4" t="str">
        <f t="shared" si="45"/>
        <v>0</v>
      </c>
      <c r="CO28" s="4" t="str">
        <f t="shared" si="46"/>
        <v>0</v>
      </c>
      <c r="CP28" s="4">
        <f t="shared" si="47"/>
        <v>0</v>
      </c>
      <c r="CQ28" s="4" t="str">
        <f t="shared" si="48"/>
        <v>1</v>
      </c>
      <c r="CR28" s="4" t="str">
        <f t="shared" si="49"/>
        <v>0</v>
      </c>
      <c r="CS28" s="4" t="str">
        <f t="shared" si="50"/>
        <v>1</v>
      </c>
      <c r="CT28" s="4" t="str">
        <f t="shared" si="51"/>
        <v>0</v>
      </c>
      <c r="CU28" s="4">
        <f t="shared" si="52"/>
        <v>2</v>
      </c>
    </row>
    <row r="29" spans="1:99" x14ac:dyDescent="0.25">
      <c r="A29">
        <v>26</v>
      </c>
      <c r="C29" s="6">
        <f t="shared" ref="C29:N29" si="99">COUNTIF(C50:C154,26)</f>
        <v>0</v>
      </c>
      <c r="D29" s="6">
        <f t="shared" si="99"/>
        <v>0</v>
      </c>
      <c r="E29" s="7">
        <f t="shared" si="99"/>
        <v>0</v>
      </c>
      <c r="F29" s="23">
        <f t="shared" si="99"/>
        <v>0</v>
      </c>
      <c r="G29" s="24">
        <f t="shared" si="99"/>
        <v>0</v>
      </c>
      <c r="H29" s="7">
        <f t="shared" si="99"/>
        <v>0</v>
      </c>
      <c r="I29" s="23">
        <f t="shared" si="99"/>
        <v>0</v>
      </c>
      <c r="J29" s="24">
        <f t="shared" si="99"/>
        <v>0</v>
      </c>
      <c r="K29" s="10">
        <f t="shared" si="99"/>
        <v>0</v>
      </c>
      <c r="L29" s="10">
        <f t="shared" si="99"/>
        <v>0</v>
      </c>
      <c r="M29" s="10">
        <f t="shared" si="99"/>
        <v>0</v>
      </c>
      <c r="N29" s="6">
        <f t="shared" si="99"/>
        <v>0</v>
      </c>
      <c r="Q29" s="83">
        <f t="shared" si="14"/>
        <v>0</v>
      </c>
      <c r="R29" s="84">
        <f t="shared" si="15"/>
        <v>0</v>
      </c>
      <c r="S29" s="84">
        <f t="shared" si="16"/>
        <v>0</v>
      </c>
      <c r="T29" s="84">
        <f t="shared" si="17"/>
        <v>0</v>
      </c>
      <c r="U29" s="16" t="str">
        <f t="shared" si="1"/>
        <v xml:space="preserve"> </v>
      </c>
      <c r="V29" s="16" t="str">
        <f t="shared" si="2"/>
        <v xml:space="preserve"> </v>
      </c>
      <c r="W29" s="16" t="str">
        <f t="shared" si="3"/>
        <v xml:space="preserve"> </v>
      </c>
      <c r="X29" s="16" t="str">
        <f t="shared" si="4"/>
        <v xml:space="preserve"> </v>
      </c>
      <c r="Z29" s="84">
        <f t="shared" si="18"/>
        <v>0</v>
      </c>
      <c r="AA29" s="62" t="str">
        <f t="shared" si="5"/>
        <v xml:space="preserve"> </v>
      </c>
      <c r="AB29" s="58"/>
      <c r="AC29" s="76" t="str">
        <f t="shared" si="19"/>
        <v xml:space="preserve">26 </v>
      </c>
      <c r="AE29" s="16">
        <f t="shared" si="20"/>
        <v>0</v>
      </c>
      <c r="AF29" s="17">
        <f t="shared" si="21"/>
        <v>0</v>
      </c>
      <c r="AG29" s="17">
        <f t="shared" si="21"/>
        <v>0</v>
      </c>
      <c r="AH29" s="17">
        <f t="shared" si="22"/>
        <v>0</v>
      </c>
      <c r="AI29" s="25" t="str">
        <f t="shared" si="6"/>
        <v xml:space="preserve"> </v>
      </c>
      <c r="AJ29" s="25" t="str">
        <f t="shared" si="7"/>
        <v xml:space="preserve"> </v>
      </c>
      <c r="AK29" s="25" t="str">
        <f t="shared" si="7"/>
        <v xml:space="preserve"> </v>
      </c>
      <c r="AL29" s="16" t="str">
        <f t="shared" si="7"/>
        <v xml:space="preserve"> </v>
      </c>
      <c r="AN29" s="25" t="str">
        <f t="shared" si="8"/>
        <v xml:space="preserve"> </v>
      </c>
      <c r="AO29" s="25" t="str">
        <f t="shared" si="9"/>
        <v xml:space="preserve"> </v>
      </c>
      <c r="AP29" s="25" t="str">
        <f t="shared" si="10"/>
        <v>X</v>
      </c>
      <c r="AQ29" s="25" t="str">
        <f t="shared" si="11"/>
        <v xml:space="preserve"> </v>
      </c>
      <c r="AR29" s="25" t="str">
        <f t="shared" si="23"/>
        <v xml:space="preserve"> </v>
      </c>
      <c r="AS29" s="17">
        <f t="shared" si="24"/>
        <v>0</v>
      </c>
      <c r="AT29" s="17">
        <f t="shared" si="25"/>
        <v>0</v>
      </c>
      <c r="AV29" s="22">
        <f>STANDARDIZE(C29,C41,C42)</f>
        <v>-0.85811633032103318</v>
      </c>
      <c r="AW29" s="22">
        <f>STANDARDIZE(D29,D41,D42)</f>
        <v>-0.63222600724584721</v>
      </c>
      <c r="AX29" s="3">
        <f t="shared" si="26"/>
        <v>0</v>
      </c>
      <c r="AY29" s="3">
        <f t="shared" si="27"/>
        <v>0</v>
      </c>
      <c r="AZ29" s="22">
        <f>STANDARDIZE(AX29,AX41,AX42)</f>
        <v>-1.0237893456016525</v>
      </c>
      <c r="BA29" s="22">
        <f>STANDARDIZE(AY29,AY41,AY42)</f>
        <v>0</v>
      </c>
      <c r="BC29" s="22">
        <f t="shared" ref="BC29:BN29" si="100">STANDARDIZE(C29,C41,C42)</f>
        <v>-0.85811633032103318</v>
      </c>
      <c r="BD29" s="22">
        <f t="shared" si="100"/>
        <v>-0.63222600724584721</v>
      </c>
      <c r="BE29" s="22">
        <f t="shared" si="100"/>
        <v>-0.4509959436749138</v>
      </c>
      <c r="BF29" s="22">
        <f t="shared" si="100"/>
        <v>-0.57464408753430107</v>
      </c>
      <c r="BG29" s="22">
        <f t="shared" si="100"/>
        <v>-0.52243995676458588</v>
      </c>
      <c r="BH29" s="22">
        <f t="shared" si="100"/>
        <v>-0.64401788495707035</v>
      </c>
      <c r="BI29" s="22">
        <f t="shared" si="100"/>
        <v>-0.6188957819160148</v>
      </c>
      <c r="BJ29" s="22">
        <f t="shared" si="100"/>
        <v>-0.75045998164397798</v>
      </c>
      <c r="BK29" s="22">
        <f t="shared" si="100"/>
        <v>-0.48228762305428424</v>
      </c>
      <c r="BL29" s="22">
        <f t="shared" si="100"/>
        <v>-0.49172252823733775</v>
      </c>
      <c r="BM29" s="22">
        <f t="shared" si="100"/>
        <v>-0.4080507828129884</v>
      </c>
      <c r="BN29" s="22">
        <f t="shared" si="100"/>
        <v>-0.76224186333987731</v>
      </c>
      <c r="BP29" s="26">
        <f t="shared" si="29"/>
        <v>0</v>
      </c>
      <c r="BQ29" s="22">
        <f>STANDARDIZE(BP29,BP41,BP42)</f>
        <v>-0.64768613876538961</v>
      </c>
      <c r="BR29" s="22">
        <f t="shared" si="30"/>
        <v>0</v>
      </c>
      <c r="BS29" s="22">
        <f>STANDARDIZE(BR29,BR41,BR42)</f>
        <v>-0.82394326136316476</v>
      </c>
      <c r="BT29" s="22"/>
      <c r="BU29" s="26">
        <f t="shared" si="31"/>
        <v>0</v>
      </c>
      <c r="BV29" s="22">
        <f>STANDARDIZE(BU29,BU41,BU42)</f>
        <v>-0.85668589703726605</v>
      </c>
      <c r="BW29" s="22"/>
      <c r="BX29" s="26">
        <f t="shared" si="32"/>
        <v>0</v>
      </c>
      <c r="BY29" s="22">
        <f>STANDARDIZE(BX29,BX41,BX42)</f>
        <v>-0.49511509527680769</v>
      </c>
      <c r="BZ29"/>
      <c r="CA29" s="4" t="str">
        <f t="shared" si="33"/>
        <v>0</v>
      </c>
      <c r="CB29" s="4" t="str">
        <f t="shared" si="34"/>
        <v>0</v>
      </c>
      <c r="CC29" s="4" t="str">
        <f t="shared" si="35"/>
        <v>1</v>
      </c>
      <c r="CD29" s="4">
        <f t="shared" si="36"/>
        <v>1</v>
      </c>
      <c r="CE29" s="4" t="str">
        <f t="shared" si="37"/>
        <v>0</v>
      </c>
      <c r="CF29" s="4" t="str">
        <f t="shared" si="38"/>
        <v>0</v>
      </c>
      <c r="CG29" s="4" t="str">
        <f t="shared" si="39"/>
        <v>1</v>
      </c>
      <c r="CH29" s="4">
        <f t="shared" si="40"/>
        <v>1</v>
      </c>
      <c r="CI29" s="4" t="str">
        <f t="shared" si="41"/>
        <v>1</v>
      </c>
      <c r="CJ29" s="4" t="str">
        <f t="shared" si="42"/>
        <v>1</v>
      </c>
      <c r="CK29" s="4" t="str">
        <f t="shared" si="42"/>
        <v>1</v>
      </c>
      <c r="CL29" s="4">
        <f t="shared" si="43"/>
        <v>3</v>
      </c>
      <c r="CM29" s="4" t="str">
        <f t="shared" si="44"/>
        <v>0</v>
      </c>
      <c r="CN29" s="4" t="str">
        <f t="shared" si="45"/>
        <v>0</v>
      </c>
      <c r="CO29" s="4" t="str">
        <f t="shared" si="46"/>
        <v>0</v>
      </c>
      <c r="CP29" s="4">
        <f t="shared" si="47"/>
        <v>0</v>
      </c>
      <c r="CQ29" s="4" t="str">
        <f t="shared" si="48"/>
        <v>1</v>
      </c>
      <c r="CR29" s="4" t="str">
        <f t="shared" si="49"/>
        <v>0</v>
      </c>
      <c r="CS29" s="4" t="str">
        <f t="shared" si="50"/>
        <v>1</v>
      </c>
      <c r="CT29" s="4" t="str">
        <f t="shared" si="51"/>
        <v>0</v>
      </c>
      <c r="CU29" s="4">
        <f t="shared" si="52"/>
        <v>2</v>
      </c>
    </row>
    <row r="30" spans="1:99" x14ac:dyDescent="0.25">
      <c r="A30">
        <v>27</v>
      </c>
      <c r="C30" s="6">
        <f t="shared" ref="C30:N30" si="101">COUNTIF(C50:C154,27)</f>
        <v>0</v>
      </c>
      <c r="D30" s="6">
        <f t="shared" si="101"/>
        <v>0</v>
      </c>
      <c r="E30" s="7">
        <f t="shared" si="101"/>
        <v>0</v>
      </c>
      <c r="F30" s="23">
        <f t="shared" si="101"/>
        <v>0</v>
      </c>
      <c r="G30" s="24">
        <f t="shared" si="101"/>
        <v>0</v>
      </c>
      <c r="H30" s="7">
        <f t="shared" si="101"/>
        <v>0</v>
      </c>
      <c r="I30" s="23">
        <f t="shared" si="101"/>
        <v>0</v>
      </c>
      <c r="J30" s="24">
        <f t="shared" si="101"/>
        <v>0</v>
      </c>
      <c r="K30" s="10">
        <f t="shared" si="101"/>
        <v>0</v>
      </c>
      <c r="L30" s="10">
        <f t="shared" si="101"/>
        <v>0</v>
      </c>
      <c r="M30" s="10">
        <f t="shared" si="101"/>
        <v>0</v>
      </c>
      <c r="N30" s="6">
        <f t="shared" si="101"/>
        <v>0</v>
      </c>
      <c r="Q30" s="83">
        <f t="shared" si="14"/>
        <v>0</v>
      </c>
      <c r="R30" s="84">
        <f t="shared" si="15"/>
        <v>0</v>
      </c>
      <c r="S30" s="84">
        <f t="shared" si="16"/>
        <v>0</v>
      </c>
      <c r="T30" s="84">
        <f t="shared" si="17"/>
        <v>0</v>
      </c>
      <c r="U30" s="16" t="str">
        <f t="shared" si="1"/>
        <v xml:space="preserve"> </v>
      </c>
      <c r="V30" s="16" t="str">
        <f t="shared" si="2"/>
        <v xml:space="preserve"> </v>
      </c>
      <c r="W30" s="16" t="str">
        <f t="shared" si="3"/>
        <v xml:space="preserve"> </v>
      </c>
      <c r="X30" s="16" t="str">
        <f t="shared" si="4"/>
        <v xml:space="preserve"> </v>
      </c>
      <c r="Z30" s="84">
        <f t="shared" si="18"/>
        <v>0</v>
      </c>
      <c r="AA30" s="62" t="str">
        <f t="shared" si="5"/>
        <v xml:space="preserve"> </v>
      </c>
      <c r="AB30" s="58"/>
      <c r="AC30" s="76" t="str">
        <f t="shared" si="19"/>
        <v xml:space="preserve">27 </v>
      </c>
      <c r="AE30" s="16">
        <f t="shared" si="20"/>
        <v>0</v>
      </c>
      <c r="AF30" s="17">
        <f t="shared" si="21"/>
        <v>0</v>
      </c>
      <c r="AG30" s="17">
        <f t="shared" si="21"/>
        <v>0</v>
      </c>
      <c r="AH30" s="17">
        <f t="shared" si="22"/>
        <v>0</v>
      </c>
      <c r="AI30" s="25" t="str">
        <f t="shared" si="6"/>
        <v xml:space="preserve"> </v>
      </c>
      <c r="AJ30" s="25" t="str">
        <f t="shared" si="7"/>
        <v xml:space="preserve"> </v>
      </c>
      <c r="AK30" s="25" t="str">
        <f t="shared" si="7"/>
        <v xml:space="preserve"> </v>
      </c>
      <c r="AL30" s="16" t="str">
        <f t="shared" si="7"/>
        <v xml:space="preserve"> </v>
      </c>
      <c r="AN30" s="25" t="str">
        <f t="shared" si="8"/>
        <v xml:space="preserve"> </v>
      </c>
      <c r="AO30" s="25" t="str">
        <f t="shared" si="9"/>
        <v xml:space="preserve"> </v>
      </c>
      <c r="AP30" s="25" t="str">
        <f t="shared" si="10"/>
        <v>X</v>
      </c>
      <c r="AQ30" s="25" t="str">
        <f t="shared" si="11"/>
        <v xml:space="preserve"> </v>
      </c>
      <c r="AR30" s="25" t="str">
        <f t="shared" si="23"/>
        <v xml:space="preserve"> </v>
      </c>
      <c r="AS30" s="17">
        <f t="shared" si="24"/>
        <v>0</v>
      </c>
      <c r="AT30" s="17">
        <f t="shared" si="25"/>
        <v>0</v>
      </c>
      <c r="AV30" s="22">
        <f>STANDARDIZE(C30,C41,C42)</f>
        <v>-0.85811633032103318</v>
      </c>
      <c r="AW30" s="22">
        <f>STANDARDIZE(D30,D41,D42)</f>
        <v>-0.63222600724584721</v>
      </c>
      <c r="AX30" s="3">
        <f t="shared" si="26"/>
        <v>0</v>
      </c>
      <c r="AY30" s="3">
        <f t="shared" si="27"/>
        <v>0</v>
      </c>
      <c r="AZ30" s="22">
        <f>STANDARDIZE(AX30,AX41,AX42)</f>
        <v>-1.0237893456016525</v>
      </c>
      <c r="BA30" s="22">
        <f>STANDARDIZE(AY30,AY41,AY42)</f>
        <v>0</v>
      </c>
      <c r="BC30" s="22">
        <f t="shared" ref="BC30:BN30" si="102">STANDARDIZE(C30,C41,C42)</f>
        <v>-0.85811633032103318</v>
      </c>
      <c r="BD30" s="22">
        <f t="shared" si="102"/>
        <v>-0.63222600724584721</v>
      </c>
      <c r="BE30" s="22">
        <f t="shared" si="102"/>
        <v>-0.4509959436749138</v>
      </c>
      <c r="BF30" s="22">
        <f t="shared" si="102"/>
        <v>-0.57464408753430107</v>
      </c>
      <c r="BG30" s="22">
        <f t="shared" si="102"/>
        <v>-0.52243995676458588</v>
      </c>
      <c r="BH30" s="22">
        <f t="shared" si="102"/>
        <v>-0.64401788495707035</v>
      </c>
      <c r="BI30" s="22">
        <f t="shared" si="102"/>
        <v>-0.6188957819160148</v>
      </c>
      <c r="BJ30" s="22">
        <f t="shared" si="102"/>
        <v>-0.75045998164397798</v>
      </c>
      <c r="BK30" s="22">
        <f t="shared" si="102"/>
        <v>-0.48228762305428424</v>
      </c>
      <c r="BL30" s="22">
        <f t="shared" si="102"/>
        <v>-0.49172252823733775</v>
      </c>
      <c r="BM30" s="22">
        <f t="shared" si="102"/>
        <v>-0.4080507828129884</v>
      </c>
      <c r="BN30" s="22">
        <f t="shared" si="102"/>
        <v>-0.76224186333987731</v>
      </c>
      <c r="BP30" s="26">
        <f t="shared" si="29"/>
        <v>0</v>
      </c>
      <c r="BQ30" s="22">
        <f>STANDARDIZE(BP30,BP41,BP42)</f>
        <v>-0.64768613876538961</v>
      </c>
      <c r="BR30" s="22">
        <f t="shared" si="30"/>
        <v>0</v>
      </c>
      <c r="BS30" s="22">
        <f>STANDARDIZE(BR30,BR41,BR42)</f>
        <v>-0.82394326136316476</v>
      </c>
      <c r="BT30" s="22"/>
      <c r="BU30" s="26">
        <f t="shared" si="31"/>
        <v>0</v>
      </c>
      <c r="BV30" s="22">
        <f>STANDARDIZE(BU30,BU41,BU42)</f>
        <v>-0.85668589703726605</v>
      </c>
      <c r="BW30" s="22"/>
      <c r="BX30" s="26">
        <f t="shared" si="32"/>
        <v>0</v>
      </c>
      <c r="BY30" s="22">
        <f>STANDARDIZE(BX30,BX41,BX42)</f>
        <v>-0.49511509527680769</v>
      </c>
      <c r="BZ30"/>
      <c r="CA30" s="4" t="str">
        <f t="shared" si="33"/>
        <v>0</v>
      </c>
      <c r="CB30" s="4" t="str">
        <f t="shared" si="34"/>
        <v>0</v>
      </c>
      <c r="CC30" s="4" t="str">
        <f t="shared" si="35"/>
        <v>1</v>
      </c>
      <c r="CD30" s="4">
        <f t="shared" si="36"/>
        <v>1</v>
      </c>
      <c r="CE30" s="4" t="str">
        <f t="shared" si="37"/>
        <v>0</v>
      </c>
      <c r="CF30" s="4" t="str">
        <f t="shared" si="38"/>
        <v>0</v>
      </c>
      <c r="CG30" s="4" t="str">
        <f t="shared" si="39"/>
        <v>1</v>
      </c>
      <c r="CH30" s="4">
        <f t="shared" si="40"/>
        <v>1</v>
      </c>
      <c r="CI30" s="4" t="str">
        <f t="shared" si="41"/>
        <v>1</v>
      </c>
      <c r="CJ30" s="4" t="str">
        <f t="shared" si="42"/>
        <v>1</v>
      </c>
      <c r="CK30" s="4" t="str">
        <f t="shared" si="42"/>
        <v>1</v>
      </c>
      <c r="CL30" s="4">
        <f t="shared" si="43"/>
        <v>3</v>
      </c>
      <c r="CM30" s="4" t="str">
        <f t="shared" si="44"/>
        <v>0</v>
      </c>
      <c r="CN30" s="4" t="str">
        <f t="shared" si="45"/>
        <v>0</v>
      </c>
      <c r="CO30" s="4" t="str">
        <f t="shared" si="46"/>
        <v>0</v>
      </c>
      <c r="CP30" s="4">
        <f t="shared" si="47"/>
        <v>0</v>
      </c>
      <c r="CQ30" s="4" t="str">
        <f t="shared" si="48"/>
        <v>1</v>
      </c>
      <c r="CR30" s="4" t="str">
        <f t="shared" si="49"/>
        <v>0</v>
      </c>
      <c r="CS30" s="4" t="str">
        <f t="shared" si="50"/>
        <v>1</v>
      </c>
      <c r="CT30" s="4" t="str">
        <f t="shared" si="51"/>
        <v>0</v>
      </c>
      <c r="CU30" s="4">
        <f t="shared" si="52"/>
        <v>2</v>
      </c>
    </row>
    <row r="31" spans="1:99" x14ac:dyDescent="0.25">
      <c r="A31">
        <v>28</v>
      </c>
      <c r="C31" s="6">
        <f t="shared" ref="C31:N31" si="103">COUNTIF(C50:C154,28)</f>
        <v>0</v>
      </c>
      <c r="D31" s="6">
        <f t="shared" si="103"/>
        <v>0</v>
      </c>
      <c r="E31" s="7">
        <f t="shared" si="103"/>
        <v>0</v>
      </c>
      <c r="F31" s="23">
        <f t="shared" si="103"/>
        <v>0</v>
      </c>
      <c r="G31" s="24">
        <f t="shared" si="103"/>
        <v>0</v>
      </c>
      <c r="H31" s="7">
        <f t="shared" si="103"/>
        <v>0</v>
      </c>
      <c r="I31" s="23">
        <f t="shared" si="103"/>
        <v>0</v>
      </c>
      <c r="J31" s="24">
        <f t="shared" si="103"/>
        <v>0</v>
      </c>
      <c r="K31" s="10">
        <f t="shared" si="103"/>
        <v>0</v>
      </c>
      <c r="L31" s="10">
        <f t="shared" si="103"/>
        <v>0</v>
      </c>
      <c r="M31" s="10">
        <f t="shared" si="103"/>
        <v>0</v>
      </c>
      <c r="N31" s="6">
        <f t="shared" si="103"/>
        <v>0</v>
      </c>
      <c r="Q31" s="83">
        <f t="shared" si="14"/>
        <v>0</v>
      </c>
      <c r="R31" s="84">
        <f t="shared" si="15"/>
        <v>0</v>
      </c>
      <c r="S31" s="84">
        <f t="shared" si="16"/>
        <v>0</v>
      </c>
      <c r="T31" s="84">
        <f t="shared" si="17"/>
        <v>0</v>
      </c>
      <c r="U31" s="16" t="str">
        <f t="shared" si="1"/>
        <v xml:space="preserve"> </v>
      </c>
      <c r="V31" s="16" t="str">
        <f t="shared" si="2"/>
        <v xml:space="preserve"> </v>
      </c>
      <c r="W31" s="16" t="str">
        <f t="shared" si="3"/>
        <v xml:space="preserve"> </v>
      </c>
      <c r="X31" s="16" t="str">
        <f t="shared" si="4"/>
        <v xml:space="preserve"> </v>
      </c>
      <c r="Z31" s="84">
        <f t="shared" si="18"/>
        <v>0</v>
      </c>
      <c r="AA31" s="62" t="str">
        <f t="shared" si="5"/>
        <v xml:space="preserve"> </v>
      </c>
      <c r="AB31" s="58"/>
      <c r="AC31" s="76" t="str">
        <f t="shared" si="19"/>
        <v xml:space="preserve">28 </v>
      </c>
      <c r="AE31" s="16">
        <f t="shared" si="20"/>
        <v>0</v>
      </c>
      <c r="AF31" s="17">
        <f t="shared" si="21"/>
        <v>0</v>
      </c>
      <c r="AG31" s="17">
        <f t="shared" si="21"/>
        <v>0</v>
      </c>
      <c r="AH31" s="17">
        <f t="shared" si="22"/>
        <v>0</v>
      </c>
      <c r="AI31" s="25" t="str">
        <f t="shared" si="6"/>
        <v xml:space="preserve"> </v>
      </c>
      <c r="AJ31" s="25" t="str">
        <f t="shared" si="7"/>
        <v xml:space="preserve"> </v>
      </c>
      <c r="AK31" s="25" t="str">
        <f t="shared" si="7"/>
        <v xml:space="preserve"> </v>
      </c>
      <c r="AL31" s="16" t="str">
        <f t="shared" si="7"/>
        <v xml:space="preserve"> </v>
      </c>
      <c r="AN31" s="25" t="str">
        <f t="shared" si="8"/>
        <v xml:space="preserve"> </v>
      </c>
      <c r="AO31" s="25" t="str">
        <f t="shared" si="9"/>
        <v xml:space="preserve"> </v>
      </c>
      <c r="AP31" s="25" t="str">
        <f t="shared" si="10"/>
        <v>X</v>
      </c>
      <c r="AQ31" s="25" t="str">
        <f t="shared" si="11"/>
        <v xml:space="preserve"> </v>
      </c>
      <c r="AR31" s="25" t="str">
        <f t="shared" si="23"/>
        <v xml:space="preserve"> </v>
      </c>
      <c r="AS31" s="17">
        <f t="shared" si="24"/>
        <v>0</v>
      </c>
      <c r="AT31" s="17">
        <f t="shared" si="25"/>
        <v>0</v>
      </c>
      <c r="AV31" s="22">
        <f>STANDARDIZE(C31,C41,C42)</f>
        <v>-0.85811633032103318</v>
      </c>
      <c r="AW31" s="22">
        <f>STANDARDIZE(D31,D41,D42)</f>
        <v>-0.63222600724584721</v>
      </c>
      <c r="AX31" s="3">
        <f t="shared" si="26"/>
        <v>0</v>
      </c>
      <c r="AY31" s="3">
        <f t="shared" si="27"/>
        <v>0</v>
      </c>
      <c r="AZ31" s="22">
        <f>STANDARDIZE(AX31,AX41,AX42)</f>
        <v>-1.0237893456016525</v>
      </c>
      <c r="BA31" s="22">
        <f>STANDARDIZE(AY31,AY41,AY42)</f>
        <v>0</v>
      </c>
      <c r="BC31" s="22">
        <f t="shared" ref="BC31:BN31" si="104">STANDARDIZE(C31,C41,C42)</f>
        <v>-0.85811633032103318</v>
      </c>
      <c r="BD31" s="22">
        <f t="shared" si="104"/>
        <v>-0.63222600724584721</v>
      </c>
      <c r="BE31" s="22">
        <f t="shared" si="104"/>
        <v>-0.4509959436749138</v>
      </c>
      <c r="BF31" s="22">
        <f t="shared" si="104"/>
        <v>-0.57464408753430107</v>
      </c>
      <c r="BG31" s="22">
        <f t="shared" si="104"/>
        <v>-0.52243995676458588</v>
      </c>
      <c r="BH31" s="22">
        <f t="shared" si="104"/>
        <v>-0.64401788495707035</v>
      </c>
      <c r="BI31" s="22">
        <f t="shared" si="104"/>
        <v>-0.6188957819160148</v>
      </c>
      <c r="BJ31" s="22">
        <f t="shared" si="104"/>
        <v>-0.75045998164397798</v>
      </c>
      <c r="BK31" s="22">
        <f t="shared" si="104"/>
        <v>-0.48228762305428424</v>
      </c>
      <c r="BL31" s="22">
        <f t="shared" si="104"/>
        <v>-0.49172252823733775</v>
      </c>
      <c r="BM31" s="22">
        <f t="shared" si="104"/>
        <v>-0.4080507828129884</v>
      </c>
      <c r="BN31" s="22">
        <f t="shared" si="104"/>
        <v>-0.76224186333987731</v>
      </c>
      <c r="BP31" s="26">
        <f t="shared" si="29"/>
        <v>0</v>
      </c>
      <c r="BQ31" s="22">
        <f>STANDARDIZE(BP31,BP41,BP42)</f>
        <v>-0.64768613876538961</v>
      </c>
      <c r="BR31" s="22">
        <f t="shared" si="30"/>
        <v>0</v>
      </c>
      <c r="BS31" s="22">
        <f>STANDARDIZE(BR31,BR41,BR42)</f>
        <v>-0.82394326136316476</v>
      </c>
      <c r="BT31" s="22"/>
      <c r="BU31" s="26">
        <f t="shared" si="31"/>
        <v>0</v>
      </c>
      <c r="BV31" s="22">
        <f>STANDARDIZE(BU31,BU41,BU42)</f>
        <v>-0.85668589703726605</v>
      </c>
      <c r="BW31" s="22"/>
      <c r="BX31" s="26">
        <f t="shared" si="32"/>
        <v>0</v>
      </c>
      <c r="BY31" s="22">
        <f>STANDARDIZE(BX31,BX41,BX42)</f>
        <v>-0.49511509527680769</v>
      </c>
      <c r="BZ31"/>
      <c r="CA31" s="4" t="str">
        <f t="shared" si="33"/>
        <v>0</v>
      </c>
      <c r="CB31" s="4" t="str">
        <f t="shared" si="34"/>
        <v>0</v>
      </c>
      <c r="CC31" s="4" t="str">
        <f t="shared" si="35"/>
        <v>1</v>
      </c>
      <c r="CD31" s="4">
        <f t="shared" si="36"/>
        <v>1</v>
      </c>
      <c r="CE31" s="4" t="str">
        <f t="shared" si="37"/>
        <v>0</v>
      </c>
      <c r="CF31" s="4" t="str">
        <f t="shared" si="38"/>
        <v>0</v>
      </c>
      <c r="CG31" s="4" t="str">
        <f t="shared" si="39"/>
        <v>1</v>
      </c>
      <c r="CH31" s="4">
        <f t="shared" si="40"/>
        <v>1</v>
      </c>
      <c r="CI31" s="4" t="str">
        <f t="shared" si="41"/>
        <v>1</v>
      </c>
      <c r="CJ31" s="4" t="str">
        <f t="shared" si="42"/>
        <v>1</v>
      </c>
      <c r="CK31" s="4" t="str">
        <f t="shared" si="42"/>
        <v>1</v>
      </c>
      <c r="CL31" s="4">
        <f t="shared" si="43"/>
        <v>3</v>
      </c>
      <c r="CM31" s="4" t="str">
        <f t="shared" si="44"/>
        <v>0</v>
      </c>
      <c r="CN31" s="4" t="str">
        <f t="shared" si="45"/>
        <v>0</v>
      </c>
      <c r="CO31" s="4" t="str">
        <f t="shared" si="46"/>
        <v>0</v>
      </c>
      <c r="CP31" s="4">
        <f t="shared" si="47"/>
        <v>0</v>
      </c>
      <c r="CQ31" s="4" t="str">
        <f t="shared" si="48"/>
        <v>1</v>
      </c>
      <c r="CR31" s="4" t="str">
        <f t="shared" si="49"/>
        <v>0</v>
      </c>
      <c r="CS31" s="4" t="str">
        <f t="shared" si="50"/>
        <v>1</v>
      </c>
      <c r="CT31" s="4" t="str">
        <f t="shared" si="51"/>
        <v>0</v>
      </c>
      <c r="CU31" s="4">
        <f t="shared" si="52"/>
        <v>2</v>
      </c>
    </row>
    <row r="32" spans="1:99" x14ac:dyDescent="0.25">
      <c r="A32">
        <v>29</v>
      </c>
      <c r="C32" s="6">
        <f t="shared" ref="C32:N32" si="105">COUNTIF(C50:C154,29)</f>
        <v>0</v>
      </c>
      <c r="D32" s="6">
        <f t="shared" si="105"/>
        <v>0</v>
      </c>
      <c r="E32" s="7">
        <f t="shared" si="105"/>
        <v>0</v>
      </c>
      <c r="F32" s="23">
        <f t="shared" si="105"/>
        <v>0</v>
      </c>
      <c r="G32" s="24">
        <f t="shared" si="105"/>
        <v>0</v>
      </c>
      <c r="H32" s="7">
        <f t="shared" si="105"/>
        <v>0</v>
      </c>
      <c r="I32" s="23">
        <f t="shared" si="105"/>
        <v>0</v>
      </c>
      <c r="J32" s="24">
        <f t="shared" si="105"/>
        <v>0</v>
      </c>
      <c r="K32" s="10">
        <f t="shared" si="105"/>
        <v>0</v>
      </c>
      <c r="L32" s="10">
        <f t="shared" si="105"/>
        <v>0</v>
      </c>
      <c r="M32" s="10">
        <f t="shared" si="105"/>
        <v>0</v>
      </c>
      <c r="N32" s="6">
        <f t="shared" si="105"/>
        <v>0</v>
      </c>
      <c r="Q32" s="83">
        <f t="shared" si="14"/>
        <v>0</v>
      </c>
      <c r="R32" s="84">
        <f t="shared" si="15"/>
        <v>0</v>
      </c>
      <c r="S32" s="84">
        <f t="shared" si="16"/>
        <v>0</v>
      </c>
      <c r="T32" s="84">
        <f t="shared" si="17"/>
        <v>0</v>
      </c>
      <c r="U32" s="16" t="str">
        <f t="shared" si="1"/>
        <v xml:space="preserve"> </v>
      </c>
      <c r="V32" s="16" t="str">
        <f t="shared" si="2"/>
        <v xml:space="preserve"> </v>
      </c>
      <c r="W32" s="16" t="str">
        <f t="shared" si="3"/>
        <v xml:space="preserve"> </v>
      </c>
      <c r="X32" s="16" t="str">
        <f t="shared" si="4"/>
        <v xml:space="preserve"> </v>
      </c>
      <c r="Z32" s="84">
        <f t="shared" si="18"/>
        <v>0</v>
      </c>
      <c r="AA32" s="62" t="str">
        <f t="shared" si="5"/>
        <v xml:space="preserve"> </v>
      </c>
      <c r="AB32" s="58"/>
      <c r="AC32" s="76" t="str">
        <f t="shared" si="19"/>
        <v xml:space="preserve">29 </v>
      </c>
      <c r="AE32" s="16">
        <f t="shared" si="20"/>
        <v>0</v>
      </c>
      <c r="AF32" s="17">
        <f t="shared" si="21"/>
        <v>0</v>
      </c>
      <c r="AG32" s="17">
        <f t="shared" si="21"/>
        <v>0</v>
      </c>
      <c r="AH32" s="17">
        <f t="shared" si="22"/>
        <v>0</v>
      </c>
      <c r="AI32" s="25" t="str">
        <f t="shared" si="6"/>
        <v xml:space="preserve"> </v>
      </c>
      <c r="AJ32" s="25" t="str">
        <f t="shared" si="7"/>
        <v xml:space="preserve"> </v>
      </c>
      <c r="AK32" s="25" t="str">
        <f t="shared" si="7"/>
        <v xml:space="preserve"> </v>
      </c>
      <c r="AL32" s="16" t="str">
        <f t="shared" si="7"/>
        <v xml:space="preserve"> </v>
      </c>
      <c r="AN32" s="25" t="str">
        <f t="shared" si="8"/>
        <v xml:space="preserve"> </v>
      </c>
      <c r="AO32" s="25" t="str">
        <f t="shared" si="9"/>
        <v xml:space="preserve"> </v>
      </c>
      <c r="AP32" s="25" t="str">
        <f t="shared" si="10"/>
        <v>X</v>
      </c>
      <c r="AQ32" s="25" t="str">
        <f t="shared" si="11"/>
        <v xml:space="preserve"> </v>
      </c>
      <c r="AR32" s="25" t="str">
        <f t="shared" si="23"/>
        <v xml:space="preserve"> </v>
      </c>
      <c r="AS32" s="17">
        <f t="shared" si="24"/>
        <v>0</v>
      </c>
      <c r="AT32" s="17">
        <f t="shared" si="25"/>
        <v>0</v>
      </c>
      <c r="AV32" s="22">
        <f>STANDARDIZE(C32,C41,C42)</f>
        <v>-0.85811633032103318</v>
      </c>
      <c r="AW32" s="22">
        <f>STANDARDIZE(D32,D41,D42)</f>
        <v>-0.63222600724584721</v>
      </c>
      <c r="AX32" s="3">
        <f t="shared" si="26"/>
        <v>0</v>
      </c>
      <c r="AY32" s="3">
        <f t="shared" si="27"/>
        <v>0</v>
      </c>
      <c r="AZ32" s="22">
        <f>STANDARDIZE(AX32,AX41,AX42)</f>
        <v>-1.0237893456016525</v>
      </c>
      <c r="BA32" s="22">
        <f>STANDARDIZE(AY32,AY41,AY42)</f>
        <v>0</v>
      </c>
      <c r="BC32" s="22">
        <f t="shared" ref="BC32:BN32" si="106">STANDARDIZE(C32,C41,C42)</f>
        <v>-0.85811633032103318</v>
      </c>
      <c r="BD32" s="22">
        <f t="shared" si="106"/>
        <v>-0.63222600724584721</v>
      </c>
      <c r="BE32" s="22">
        <f t="shared" si="106"/>
        <v>-0.4509959436749138</v>
      </c>
      <c r="BF32" s="22">
        <f t="shared" si="106"/>
        <v>-0.57464408753430107</v>
      </c>
      <c r="BG32" s="22">
        <f t="shared" si="106"/>
        <v>-0.52243995676458588</v>
      </c>
      <c r="BH32" s="22">
        <f t="shared" si="106"/>
        <v>-0.64401788495707035</v>
      </c>
      <c r="BI32" s="22">
        <f t="shared" si="106"/>
        <v>-0.6188957819160148</v>
      </c>
      <c r="BJ32" s="22">
        <f t="shared" si="106"/>
        <v>-0.75045998164397798</v>
      </c>
      <c r="BK32" s="22">
        <f t="shared" si="106"/>
        <v>-0.48228762305428424</v>
      </c>
      <c r="BL32" s="22">
        <f t="shared" si="106"/>
        <v>-0.49172252823733775</v>
      </c>
      <c r="BM32" s="22">
        <f t="shared" si="106"/>
        <v>-0.4080507828129884</v>
      </c>
      <c r="BN32" s="22">
        <f t="shared" si="106"/>
        <v>-0.76224186333987731</v>
      </c>
      <c r="BP32" s="26">
        <f t="shared" si="29"/>
        <v>0</v>
      </c>
      <c r="BQ32" s="22">
        <f>STANDARDIZE(BP32,BP41,BP42)</f>
        <v>-0.64768613876538961</v>
      </c>
      <c r="BR32" s="22">
        <f t="shared" si="30"/>
        <v>0</v>
      </c>
      <c r="BS32" s="22">
        <f>STANDARDIZE(BR32,BR41,BR42)</f>
        <v>-0.82394326136316476</v>
      </c>
      <c r="BT32" s="22"/>
      <c r="BU32" s="26">
        <f t="shared" si="31"/>
        <v>0</v>
      </c>
      <c r="BV32" s="22">
        <f>STANDARDIZE(BU32,BU41,BU42)</f>
        <v>-0.85668589703726605</v>
      </c>
      <c r="BW32" s="22"/>
      <c r="BX32" s="26">
        <f t="shared" si="32"/>
        <v>0</v>
      </c>
      <c r="BY32" s="22">
        <f>STANDARDIZE(BX32,BX41,BX42)</f>
        <v>-0.49511509527680769</v>
      </c>
      <c r="BZ32"/>
      <c r="CA32" s="4" t="str">
        <f t="shared" si="33"/>
        <v>0</v>
      </c>
      <c r="CB32" s="4" t="str">
        <f t="shared" si="34"/>
        <v>0</v>
      </c>
      <c r="CC32" s="4" t="str">
        <f t="shared" si="35"/>
        <v>1</v>
      </c>
      <c r="CD32" s="4">
        <f t="shared" si="36"/>
        <v>1</v>
      </c>
      <c r="CE32" s="4" t="str">
        <f t="shared" si="37"/>
        <v>0</v>
      </c>
      <c r="CF32" s="4" t="str">
        <f t="shared" si="38"/>
        <v>0</v>
      </c>
      <c r="CG32" s="4" t="str">
        <f t="shared" si="39"/>
        <v>1</v>
      </c>
      <c r="CH32" s="4">
        <f t="shared" si="40"/>
        <v>1</v>
      </c>
      <c r="CI32" s="4" t="str">
        <f t="shared" si="41"/>
        <v>1</v>
      </c>
      <c r="CJ32" s="4" t="str">
        <f t="shared" si="42"/>
        <v>1</v>
      </c>
      <c r="CK32" s="4" t="str">
        <f t="shared" si="42"/>
        <v>1</v>
      </c>
      <c r="CL32" s="4">
        <f t="shared" si="43"/>
        <v>3</v>
      </c>
      <c r="CM32" s="4" t="str">
        <f t="shared" si="44"/>
        <v>0</v>
      </c>
      <c r="CN32" s="4" t="str">
        <f t="shared" si="45"/>
        <v>0</v>
      </c>
      <c r="CO32" s="4" t="str">
        <f t="shared" si="46"/>
        <v>0</v>
      </c>
      <c r="CP32" s="4">
        <f t="shared" si="47"/>
        <v>0</v>
      </c>
      <c r="CQ32" s="4" t="str">
        <f t="shared" si="48"/>
        <v>1</v>
      </c>
      <c r="CR32" s="4" t="str">
        <f t="shared" si="49"/>
        <v>0</v>
      </c>
      <c r="CS32" s="4" t="str">
        <f t="shared" si="50"/>
        <v>1</v>
      </c>
      <c r="CT32" s="4" t="str">
        <f t="shared" si="51"/>
        <v>0</v>
      </c>
      <c r="CU32" s="4">
        <f t="shared" si="52"/>
        <v>2</v>
      </c>
    </row>
    <row r="33" spans="1:100" x14ac:dyDescent="0.25">
      <c r="A33">
        <v>30</v>
      </c>
      <c r="C33" s="6">
        <f t="shared" ref="C33:N33" si="107">COUNTIF(C50:C154,30)</f>
        <v>0</v>
      </c>
      <c r="D33" s="6">
        <f t="shared" si="107"/>
        <v>0</v>
      </c>
      <c r="E33" s="7">
        <f t="shared" si="107"/>
        <v>0</v>
      </c>
      <c r="F33" s="23">
        <f t="shared" si="107"/>
        <v>0</v>
      </c>
      <c r="G33" s="24">
        <f t="shared" si="107"/>
        <v>0</v>
      </c>
      <c r="H33" s="7">
        <f t="shared" si="107"/>
        <v>0</v>
      </c>
      <c r="I33" s="23">
        <f t="shared" si="107"/>
        <v>0</v>
      </c>
      <c r="J33" s="24">
        <f t="shared" si="107"/>
        <v>0</v>
      </c>
      <c r="K33" s="10">
        <f t="shared" si="107"/>
        <v>0</v>
      </c>
      <c r="L33" s="10">
        <f t="shared" si="107"/>
        <v>0</v>
      </c>
      <c r="M33" s="10">
        <f t="shared" si="107"/>
        <v>0</v>
      </c>
      <c r="N33" s="6">
        <f t="shared" si="107"/>
        <v>0</v>
      </c>
      <c r="Q33" s="83">
        <f t="shared" si="14"/>
        <v>0</v>
      </c>
      <c r="R33" s="84">
        <f t="shared" si="15"/>
        <v>0</v>
      </c>
      <c r="S33" s="84">
        <f t="shared" si="16"/>
        <v>0</v>
      </c>
      <c r="T33" s="84">
        <f t="shared" si="17"/>
        <v>0</v>
      </c>
      <c r="U33" s="16" t="str">
        <f t="shared" si="1"/>
        <v xml:space="preserve"> </v>
      </c>
      <c r="V33" s="16" t="str">
        <f t="shared" si="2"/>
        <v xml:space="preserve"> </v>
      </c>
      <c r="W33" s="16" t="str">
        <f t="shared" si="3"/>
        <v xml:space="preserve"> </v>
      </c>
      <c r="X33" s="16" t="str">
        <f t="shared" si="4"/>
        <v xml:space="preserve"> </v>
      </c>
      <c r="Z33" s="84">
        <f t="shared" si="18"/>
        <v>0</v>
      </c>
      <c r="AA33" s="62" t="str">
        <f t="shared" si="5"/>
        <v xml:space="preserve"> </v>
      </c>
      <c r="AB33" s="58"/>
      <c r="AC33" s="76" t="str">
        <f t="shared" si="19"/>
        <v xml:space="preserve">30 </v>
      </c>
      <c r="AE33" s="16">
        <f t="shared" si="20"/>
        <v>0</v>
      </c>
      <c r="AF33" s="17">
        <f t="shared" si="21"/>
        <v>0</v>
      </c>
      <c r="AG33" s="17">
        <f t="shared" si="21"/>
        <v>0</v>
      </c>
      <c r="AH33" s="17">
        <f t="shared" si="22"/>
        <v>0</v>
      </c>
      <c r="AI33" s="25" t="str">
        <f t="shared" si="6"/>
        <v xml:space="preserve"> </v>
      </c>
      <c r="AJ33" s="25" t="str">
        <f t="shared" si="7"/>
        <v xml:space="preserve"> </v>
      </c>
      <c r="AK33" s="25" t="str">
        <f t="shared" si="7"/>
        <v xml:space="preserve"> </v>
      </c>
      <c r="AL33" s="16" t="str">
        <f t="shared" si="7"/>
        <v xml:space="preserve"> </v>
      </c>
      <c r="AN33" s="25" t="str">
        <f t="shared" si="8"/>
        <v xml:space="preserve"> </v>
      </c>
      <c r="AO33" s="25" t="str">
        <f t="shared" si="9"/>
        <v xml:space="preserve"> </v>
      </c>
      <c r="AP33" s="25" t="str">
        <f t="shared" si="10"/>
        <v>X</v>
      </c>
      <c r="AQ33" s="25" t="str">
        <f t="shared" si="11"/>
        <v xml:space="preserve"> </v>
      </c>
      <c r="AR33" s="25" t="str">
        <f t="shared" si="23"/>
        <v xml:space="preserve"> </v>
      </c>
      <c r="AS33" s="17">
        <f t="shared" si="24"/>
        <v>0</v>
      </c>
      <c r="AT33" s="17">
        <f t="shared" si="25"/>
        <v>0</v>
      </c>
      <c r="AV33" s="22">
        <f>STANDARDIZE(C33,C41,C42)</f>
        <v>-0.85811633032103318</v>
      </c>
      <c r="AW33" s="22">
        <f>STANDARDIZE(D33,D41,D42)</f>
        <v>-0.63222600724584721</v>
      </c>
      <c r="AX33" s="3">
        <f t="shared" si="26"/>
        <v>0</v>
      </c>
      <c r="AY33" s="3">
        <f t="shared" si="27"/>
        <v>0</v>
      </c>
      <c r="AZ33" s="22">
        <f>STANDARDIZE(AX33,AX41,AX42)</f>
        <v>-1.0237893456016525</v>
      </c>
      <c r="BA33" s="22">
        <f>STANDARDIZE(AY33,AY41,AY42)</f>
        <v>0</v>
      </c>
      <c r="BC33" s="22">
        <f t="shared" ref="BC33:BN33" si="108">STANDARDIZE(C33,C41,C42)</f>
        <v>-0.85811633032103318</v>
      </c>
      <c r="BD33" s="22">
        <f t="shared" si="108"/>
        <v>-0.63222600724584721</v>
      </c>
      <c r="BE33" s="22">
        <f t="shared" si="108"/>
        <v>-0.4509959436749138</v>
      </c>
      <c r="BF33" s="22">
        <f t="shared" si="108"/>
        <v>-0.57464408753430107</v>
      </c>
      <c r="BG33" s="22">
        <f t="shared" si="108"/>
        <v>-0.52243995676458588</v>
      </c>
      <c r="BH33" s="22">
        <f t="shared" si="108"/>
        <v>-0.64401788495707035</v>
      </c>
      <c r="BI33" s="22">
        <f t="shared" si="108"/>
        <v>-0.6188957819160148</v>
      </c>
      <c r="BJ33" s="22">
        <f t="shared" si="108"/>
        <v>-0.75045998164397798</v>
      </c>
      <c r="BK33" s="22">
        <f t="shared" si="108"/>
        <v>-0.48228762305428424</v>
      </c>
      <c r="BL33" s="22">
        <f t="shared" si="108"/>
        <v>-0.49172252823733775</v>
      </c>
      <c r="BM33" s="22">
        <f t="shared" si="108"/>
        <v>-0.4080507828129884</v>
      </c>
      <c r="BN33" s="22">
        <f t="shared" si="108"/>
        <v>-0.76224186333987731</v>
      </c>
      <c r="BP33" s="26">
        <f t="shared" si="29"/>
        <v>0</v>
      </c>
      <c r="BQ33" s="22">
        <f>STANDARDIZE(BP33,BP41,BP42)</f>
        <v>-0.64768613876538961</v>
      </c>
      <c r="BR33" s="22">
        <f t="shared" si="30"/>
        <v>0</v>
      </c>
      <c r="BS33" s="22">
        <f>STANDARDIZE(BR33,BR41,BR42)</f>
        <v>-0.82394326136316476</v>
      </c>
      <c r="BT33" s="22"/>
      <c r="BU33" s="26">
        <f t="shared" si="31"/>
        <v>0</v>
      </c>
      <c r="BV33" s="22">
        <f>STANDARDIZE(BU33,BU41,BU42)</f>
        <v>-0.85668589703726605</v>
      </c>
      <c r="BW33" s="22"/>
      <c r="BX33" s="26">
        <f t="shared" si="32"/>
        <v>0</v>
      </c>
      <c r="BY33" s="22">
        <f>STANDARDIZE(BX33,BX41,BX42)</f>
        <v>-0.49511509527680769</v>
      </c>
      <c r="BZ33"/>
      <c r="CA33" s="4" t="str">
        <f t="shared" si="33"/>
        <v>0</v>
      </c>
      <c r="CB33" s="4" t="str">
        <f t="shared" si="34"/>
        <v>0</v>
      </c>
      <c r="CC33" s="4" t="str">
        <f t="shared" si="35"/>
        <v>1</v>
      </c>
      <c r="CD33" s="4">
        <f t="shared" si="36"/>
        <v>1</v>
      </c>
      <c r="CE33" s="4" t="str">
        <f t="shared" si="37"/>
        <v>0</v>
      </c>
      <c r="CF33" s="4" t="str">
        <f t="shared" si="38"/>
        <v>0</v>
      </c>
      <c r="CG33" s="4" t="str">
        <f t="shared" si="39"/>
        <v>1</v>
      </c>
      <c r="CH33" s="4">
        <f t="shared" si="40"/>
        <v>1</v>
      </c>
      <c r="CI33" s="4" t="str">
        <f t="shared" si="41"/>
        <v>1</v>
      </c>
      <c r="CJ33" s="4" t="str">
        <f t="shared" si="42"/>
        <v>1</v>
      </c>
      <c r="CK33" s="4" t="str">
        <f t="shared" si="42"/>
        <v>1</v>
      </c>
      <c r="CL33" s="4">
        <f t="shared" si="43"/>
        <v>3</v>
      </c>
      <c r="CM33" s="4" t="str">
        <f t="shared" si="44"/>
        <v>0</v>
      </c>
      <c r="CN33" s="4" t="str">
        <f t="shared" si="45"/>
        <v>0</v>
      </c>
      <c r="CO33" s="4" t="str">
        <f t="shared" si="46"/>
        <v>0</v>
      </c>
      <c r="CP33" s="4">
        <f t="shared" si="47"/>
        <v>0</v>
      </c>
      <c r="CQ33" s="4" t="str">
        <f t="shared" si="48"/>
        <v>1</v>
      </c>
      <c r="CR33" s="4" t="str">
        <f t="shared" si="49"/>
        <v>0</v>
      </c>
      <c r="CS33" s="4" t="str">
        <f t="shared" si="50"/>
        <v>1</v>
      </c>
      <c r="CT33" s="4" t="str">
        <f t="shared" si="51"/>
        <v>0</v>
      </c>
      <c r="CU33" s="4">
        <f t="shared" si="52"/>
        <v>2</v>
      </c>
    </row>
    <row r="34" spans="1:100" x14ac:dyDescent="0.25">
      <c r="A34">
        <v>31</v>
      </c>
      <c r="C34" s="6">
        <f t="shared" ref="C34:N34" si="109">COUNTIF(C50:C154,31)</f>
        <v>0</v>
      </c>
      <c r="D34" s="6">
        <f t="shared" si="109"/>
        <v>0</v>
      </c>
      <c r="E34" s="7">
        <f t="shared" si="109"/>
        <v>0</v>
      </c>
      <c r="F34" s="23">
        <f t="shared" si="109"/>
        <v>0</v>
      </c>
      <c r="G34" s="24">
        <f t="shared" si="109"/>
        <v>0</v>
      </c>
      <c r="H34" s="7">
        <f t="shared" si="109"/>
        <v>0</v>
      </c>
      <c r="I34" s="23">
        <f t="shared" si="109"/>
        <v>0</v>
      </c>
      <c r="J34" s="24">
        <f t="shared" si="109"/>
        <v>0</v>
      </c>
      <c r="K34" s="10">
        <f t="shared" si="109"/>
        <v>0</v>
      </c>
      <c r="L34" s="10">
        <f t="shared" si="109"/>
        <v>0</v>
      </c>
      <c r="M34" s="10">
        <f t="shared" si="109"/>
        <v>0</v>
      </c>
      <c r="N34" s="6">
        <f t="shared" si="109"/>
        <v>0</v>
      </c>
      <c r="Q34" s="83">
        <f t="shared" si="14"/>
        <v>0</v>
      </c>
      <c r="R34" s="84">
        <f t="shared" si="15"/>
        <v>0</v>
      </c>
      <c r="S34" s="84">
        <f t="shared" si="16"/>
        <v>0</v>
      </c>
      <c r="T34" s="84">
        <f t="shared" si="17"/>
        <v>0</v>
      </c>
      <c r="U34" s="16" t="str">
        <f t="shared" si="1"/>
        <v xml:space="preserve"> </v>
      </c>
      <c r="V34" s="16" t="str">
        <f t="shared" si="2"/>
        <v xml:space="preserve"> </v>
      </c>
      <c r="W34" s="16" t="str">
        <f t="shared" si="3"/>
        <v xml:space="preserve"> </v>
      </c>
      <c r="X34" s="16" t="str">
        <f t="shared" si="4"/>
        <v xml:space="preserve"> </v>
      </c>
      <c r="Z34" s="84">
        <f t="shared" si="18"/>
        <v>0</v>
      </c>
      <c r="AA34" s="62" t="str">
        <f t="shared" si="5"/>
        <v xml:space="preserve"> </v>
      </c>
      <c r="AB34" s="58"/>
      <c r="AC34" s="76" t="str">
        <f t="shared" si="19"/>
        <v xml:space="preserve">31 </v>
      </c>
      <c r="AE34" s="16">
        <f t="shared" si="20"/>
        <v>0</v>
      </c>
      <c r="AF34" s="17">
        <f t="shared" si="21"/>
        <v>0</v>
      </c>
      <c r="AG34" s="17">
        <f t="shared" si="21"/>
        <v>0</v>
      </c>
      <c r="AH34" s="17">
        <f t="shared" si="22"/>
        <v>0</v>
      </c>
      <c r="AI34" s="25" t="str">
        <f t="shared" si="6"/>
        <v xml:space="preserve"> </v>
      </c>
      <c r="AJ34" s="25" t="str">
        <f t="shared" si="7"/>
        <v xml:space="preserve"> </v>
      </c>
      <c r="AK34" s="25" t="str">
        <f t="shared" si="7"/>
        <v xml:space="preserve"> </v>
      </c>
      <c r="AL34" s="16" t="str">
        <f t="shared" si="7"/>
        <v xml:space="preserve"> </v>
      </c>
      <c r="AN34" s="25" t="str">
        <f t="shared" si="8"/>
        <v xml:space="preserve"> </v>
      </c>
      <c r="AO34" s="25" t="str">
        <f t="shared" si="9"/>
        <v xml:space="preserve"> </v>
      </c>
      <c r="AP34" s="25" t="str">
        <f t="shared" si="10"/>
        <v>X</v>
      </c>
      <c r="AQ34" s="25" t="str">
        <f t="shared" si="11"/>
        <v xml:space="preserve"> </v>
      </c>
      <c r="AR34" s="25" t="str">
        <f t="shared" si="23"/>
        <v xml:space="preserve"> </v>
      </c>
      <c r="AS34" s="17">
        <f t="shared" si="24"/>
        <v>0</v>
      </c>
      <c r="AT34" s="17">
        <f t="shared" si="25"/>
        <v>0</v>
      </c>
      <c r="AV34" s="22">
        <f>STANDARDIZE(C34,C41,C42)</f>
        <v>-0.85811633032103318</v>
      </c>
      <c r="AW34" s="22">
        <f>STANDARDIZE(D34,D41,D42)</f>
        <v>-0.63222600724584721</v>
      </c>
      <c r="AX34" s="3">
        <f t="shared" si="26"/>
        <v>0</v>
      </c>
      <c r="AY34" s="3">
        <f t="shared" si="27"/>
        <v>0</v>
      </c>
      <c r="AZ34" s="22">
        <f>STANDARDIZE(AX34,AX41,AX42)</f>
        <v>-1.0237893456016525</v>
      </c>
      <c r="BA34" s="22">
        <f>STANDARDIZE(AY34,AY41,AY42)</f>
        <v>0</v>
      </c>
      <c r="BC34" s="22">
        <f t="shared" ref="BC34:BN34" si="110">STANDARDIZE(C34,C41,C42)</f>
        <v>-0.85811633032103318</v>
      </c>
      <c r="BD34" s="22">
        <f t="shared" si="110"/>
        <v>-0.63222600724584721</v>
      </c>
      <c r="BE34" s="22">
        <f t="shared" si="110"/>
        <v>-0.4509959436749138</v>
      </c>
      <c r="BF34" s="22">
        <f t="shared" si="110"/>
        <v>-0.57464408753430107</v>
      </c>
      <c r="BG34" s="22">
        <f t="shared" si="110"/>
        <v>-0.52243995676458588</v>
      </c>
      <c r="BH34" s="22">
        <f t="shared" si="110"/>
        <v>-0.64401788495707035</v>
      </c>
      <c r="BI34" s="22">
        <f t="shared" si="110"/>
        <v>-0.6188957819160148</v>
      </c>
      <c r="BJ34" s="22">
        <f t="shared" si="110"/>
        <v>-0.75045998164397798</v>
      </c>
      <c r="BK34" s="22">
        <f t="shared" si="110"/>
        <v>-0.48228762305428424</v>
      </c>
      <c r="BL34" s="22">
        <f t="shared" si="110"/>
        <v>-0.49172252823733775</v>
      </c>
      <c r="BM34" s="22">
        <f t="shared" si="110"/>
        <v>-0.4080507828129884</v>
      </c>
      <c r="BN34" s="22">
        <f t="shared" si="110"/>
        <v>-0.76224186333987731</v>
      </c>
      <c r="BP34" s="26">
        <f t="shared" si="29"/>
        <v>0</v>
      </c>
      <c r="BQ34" s="22">
        <f>STANDARDIZE(BP34,BP41,BP42)</f>
        <v>-0.64768613876538961</v>
      </c>
      <c r="BR34" s="22">
        <f t="shared" si="30"/>
        <v>0</v>
      </c>
      <c r="BS34" s="22">
        <f>STANDARDIZE(BR34,BR41,BR42)</f>
        <v>-0.82394326136316476</v>
      </c>
      <c r="BT34" s="22"/>
      <c r="BU34" s="26">
        <f t="shared" si="31"/>
        <v>0</v>
      </c>
      <c r="BV34" s="22">
        <f>STANDARDIZE(BU34,BU41,BU42)</f>
        <v>-0.85668589703726605</v>
      </c>
      <c r="BW34" s="22"/>
      <c r="BX34" s="26">
        <f t="shared" si="32"/>
        <v>0</v>
      </c>
      <c r="BY34" s="22">
        <f>STANDARDIZE(BX34,BX41,BX42)</f>
        <v>-0.49511509527680769</v>
      </c>
      <c r="BZ34"/>
      <c r="CA34" s="4" t="str">
        <f t="shared" si="33"/>
        <v>0</v>
      </c>
      <c r="CB34" s="4" t="str">
        <f t="shared" si="34"/>
        <v>0</v>
      </c>
      <c r="CC34" s="4" t="str">
        <f t="shared" si="35"/>
        <v>1</v>
      </c>
      <c r="CD34" s="4">
        <f t="shared" si="36"/>
        <v>1</v>
      </c>
      <c r="CE34" s="4" t="str">
        <f t="shared" si="37"/>
        <v>0</v>
      </c>
      <c r="CF34" s="4" t="str">
        <f t="shared" si="38"/>
        <v>0</v>
      </c>
      <c r="CG34" s="4" t="str">
        <f t="shared" si="39"/>
        <v>1</v>
      </c>
      <c r="CH34" s="4">
        <f t="shared" si="40"/>
        <v>1</v>
      </c>
      <c r="CI34" s="4" t="str">
        <f t="shared" si="41"/>
        <v>1</v>
      </c>
      <c r="CJ34" s="4" t="str">
        <f t="shared" si="42"/>
        <v>1</v>
      </c>
      <c r="CK34" s="4" t="str">
        <f t="shared" si="42"/>
        <v>1</v>
      </c>
      <c r="CL34" s="4">
        <f t="shared" si="43"/>
        <v>3</v>
      </c>
      <c r="CM34" s="4" t="str">
        <f t="shared" si="44"/>
        <v>0</v>
      </c>
      <c r="CN34" s="4" t="str">
        <f t="shared" si="45"/>
        <v>0</v>
      </c>
      <c r="CO34" s="4" t="str">
        <f t="shared" si="46"/>
        <v>0</v>
      </c>
      <c r="CP34" s="4">
        <f t="shared" si="47"/>
        <v>0</v>
      </c>
      <c r="CQ34" s="4" t="str">
        <f t="shared" si="48"/>
        <v>1</v>
      </c>
      <c r="CR34" s="4" t="str">
        <f t="shared" si="49"/>
        <v>0</v>
      </c>
      <c r="CS34" s="4" t="str">
        <f t="shared" si="50"/>
        <v>1</v>
      </c>
      <c r="CT34" s="4" t="str">
        <f t="shared" si="51"/>
        <v>0</v>
      </c>
      <c r="CU34" s="4">
        <f t="shared" si="52"/>
        <v>2</v>
      </c>
    </row>
    <row r="35" spans="1:100" x14ac:dyDescent="0.25">
      <c r="A35">
        <v>32</v>
      </c>
      <c r="C35" s="6">
        <f t="shared" ref="C35:N35" si="111">COUNTIF(C50:C154,32)</f>
        <v>0</v>
      </c>
      <c r="D35" s="6">
        <f t="shared" si="111"/>
        <v>0</v>
      </c>
      <c r="E35" s="7">
        <f t="shared" si="111"/>
        <v>0</v>
      </c>
      <c r="F35" s="23">
        <f t="shared" si="111"/>
        <v>0</v>
      </c>
      <c r="G35" s="24">
        <f t="shared" si="111"/>
        <v>0</v>
      </c>
      <c r="H35" s="7">
        <f t="shared" si="111"/>
        <v>0</v>
      </c>
      <c r="I35" s="23">
        <f t="shared" si="111"/>
        <v>0</v>
      </c>
      <c r="J35" s="24">
        <f t="shared" si="111"/>
        <v>0</v>
      </c>
      <c r="K35" s="10">
        <f t="shared" si="111"/>
        <v>0</v>
      </c>
      <c r="L35" s="10">
        <f t="shared" si="111"/>
        <v>0</v>
      </c>
      <c r="M35" s="10">
        <f t="shared" si="111"/>
        <v>0</v>
      </c>
      <c r="N35" s="6">
        <f t="shared" si="111"/>
        <v>0</v>
      </c>
      <c r="Q35" s="83">
        <f t="shared" si="14"/>
        <v>0</v>
      </c>
      <c r="R35" s="84">
        <f t="shared" si="15"/>
        <v>0</v>
      </c>
      <c r="S35" s="84">
        <f t="shared" si="16"/>
        <v>0</v>
      </c>
      <c r="T35" s="84">
        <f t="shared" si="17"/>
        <v>0</v>
      </c>
      <c r="U35" s="16" t="str">
        <f t="shared" si="1"/>
        <v xml:space="preserve"> </v>
      </c>
      <c r="V35" s="16" t="str">
        <f t="shared" si="2"/>
        <v xml:space="preserve"> </v>
      </c>
      <c r="W35" s="16" t="str">
        <f t="shared" si="3"/>
        <v xml:space="preserve"> </v>
      </c>
      <c r="X35" s="16" t="str">
        <f t="shared" si="4"/>
        <v xml:space="preserve"> </v>
      </c>
      <c r="Z35" s="84">
        <f t="shared" si="18"/>
        <v>0</v>
      </c>
      <c r="AA35" s="62" t="str">
        <f t="shared" si="5"/>
        <v xml:space="preserve"> </v>
      </c>
      <c r="AB35" s="58"/>
      <c r="AC35" s="76" t="str">
        <f t="shared" si="19"/>
        <v xml:space="preserve">32 </v>
      </c>
      <c r="AE35" s="16">
        <f t="shared" si="20"/>
        <v>0</v>
      </c>
      <c r="AF35" s="17">
        <f t="shared" si="21"/>
        <v>0</v>
      </c>
      <c r="AG35" s="17">
        <f t="shared" si="21"/>
        <v>0</v>
      </c>
      <c r="AH35" s="17">
        <f t="shared" si="22"/>
        <v>0</v>
      </c>
      <c r="AI35" s="25" t="str">
        <f t="shared" si="6"/>
        <v xml:space="preserve"> </v>
      </c>
      <c r="AJ35" s="25" t="str">
        <f t="shared" si="7"/>
        <v xml:space="preserve"> </v>
      </c>
      <c r="AK35" s="25" t="str">
        <f t="shared" si="7"/>
        <v xml:space="preserve"> </v>
      </c>
      <c r="AL35" s="16" t="str">
        <f t="shared" si="7"/>
        <v xml:space="preserve"> </v>
      </c>
      <c r="AN35" s="25" t="str">
        <f t="shared" si="8"/>
        <v xml:space="preserve"> </v>
      </c>
      <c r="AO35" s="25" t="str">
        <f t="shared" si="9"/>
        <v xml:space="preserve"> </v>
      </c>
      <c r="AP35" s="25" t="str">
        <f t="shared" si="10"/>
        <v>X</v>
      </c>
      <c r="AQ35" s="25" t="str">
        <f t="shared" si="11"/>
        <v xml:space="preserve"> </v>
      </c>
      <c r="AR35" s="25" t="str">
        <f t="shared" si="23"/>
        <v xml:space="preserve"> </v>
      </c>
      <c r="AS35" s="17">
        <f t="shared" si="24"/>
        <v>0</v>
      </c>
      <c r="AT35" s="17">
        <f t="shared" si="25"/>
        <v>0</v>
      </c>
      <c r="AV35" s="22">
        <f>STANDARDIZE(C35,C41,C42)</f>
        <v>-0.85811633032103318</v>
      </c>
      <c r="AW35" s="22">
        <f>STANDARDIZE(D35,D41,D42)</f>
        <v>-0.63222600724584721</v>
      </c>
      <c r="AX35" s="3">
        <f t="shared" si="26"/>
        <v>0</v>
      </c>
      <c r="AY35" s="3">
        <f t="shared" si="27"/>
        <v>0</v>
      </c>
      <c r="AZ35" s="22">
        <f>STANDARDIZE(AX35,AX41,AX42)</f>
        <v>-1.0237893456016525</v>
      </c>
      <c r="BA35" s="22">
        <f>STANDARDIZE(AY35,AY41,AY42)</f>
        <v>0</v>
      </c>
      <c r="BC35" s="22">
        <f t="shared" ref="BC35:BN35" si="112">STANDARDIZE(C35,C41,C42)</f>
        <v>-0.85811633032103318</v>
      </c>
      <c r="BD35" s="22">
        <f t="shared" si="112"/>
        <v>-0.63222600724584721</v>
      </c>
      <c r="BE35" s="22">
        <f t="shared" si="112"/>
        <v>-0.4509959436749138</v>
      </c>
      <c r="BF35" s="22">
        <f t="shared" si="112"/>
        <v>-0.57464408753430107</v>
      </c>
      <c r="BG35" s="22">
        <f t="shared" si="112"/>
        <v>-0.52243995676458588</v>
      </c>
      <c r="BH35" s="22">
        <f t="shared" si="112"/>
        <v>-0.64401788495707035</v>
      </c>
      <c r="BI35" s="22">
        <f t="shared" si="112"/>
        <v>-0.6188957819160148</v>
      </c>
      <c r="BJ35" s="22">
        <f t="shared" si="112"/>
        <v>-0.75045998164397798</v>
      </c>
      <c r="BK35" s="22">
        <f t="shared" si="112"/>
        <v>-0.48228762305428424</v>
      </c>
      <c r="BL35" s="22">
        <f t="shared" si="112"/>
        <v>-0.49172252823733775</v>
      </c>
      <c r="BM35" s="22">
        <f t="shared" si="112"/>
        <v>-0.4080507828129884</v>
      </c>
      <c r="BN35" s="22">
        <f t="shared" si="112"/>
        <v>-0.76224186333987731</v>
      </c>
      <c r="BP35" s="26">
        <f t="shared" si="29"/>
        <v>0</v>
      </c>
      <c r="BQ35" s="22">
        <f>STANDARDIZE(BP35,BP41,BP42)</f>
        <v>-0.64768613876538961</v>
      </c>
      <c r="BR35" s="22">
        <f t="shared" si="30"/>
        <v>0</v>
      </c>
      <c r="BS35" s="22">
        <f>STANDARDIZE(BR35,BR41,BR42)</f>
        <v>-0.82394326136316476</v>
      </c>
      <c r="BT35" s="22"/>
      <c r="BU35" s="26">
        <f t="shared" si="31"/>
        <v>0</v>
      </c>
      <c r="BV35" s="22">
        <f>STANDARDIZE(BU35,BU41,BU42)</f>
        <v>-0.85668589703726605</v>
      </c>
      <c r="BW35" s="22"/>
      <c r="BX35" s="26">
        <f t="shared" si="32"/>
        <v>0</v>
      </c>
      <c r="BY35" s="22">
        <f>STANDARDIZE(BX35,BX41,BX42)</f>
        <v>-0.49511509527680769</v>
      </c>
      <c r="BZ35"/>
      <c r="CA35" s="4" t="str">
        <f t="shared" si="33"/>
        <v>0</v>
      </c>
      <c r="CB35" s="4" t="str">
        <f t="shared" si="34"/>
        <v>0</v>
      </c>
      <c r="CC35" s="4" t="str">
        <f t="shared" si="35"/>
        <v>1</v>
      </c>
      <c r="CD35" s="4">
        <f t="shared" si="36"/>
        <v>1</v>
      </c>
      <c r="CE35" s="4" t="str">
        <f t="shared" si="37"/>
        <v>0</v>
      </c>
      <c r="CF35" s="4" t="str">
        <f t="shared" si="38"/>
        <v>0</v>
      </c>
      <c r="CG35" s="4" t="str">
        <f t="shared" si="39"/>
        <v>1</v>
      </c>
      <c r="CH35" s="4">
        <f t="shared" si="40"/>
        <v>1</v>
      </c>
      <c r="CI35" s="4" t="str">
        <f t="shared" si="41"/>
        <v>1</v>
      </c>
      <c r="CJ35" s="4" t="str">
        <f t="shared" si="42"/>
        <v>1</v>
      </c>
      <c r="CK35" s="4" t="str">
        <f t="shared" si="42"/>
        <v>1</v>
      </c>
      <c r="CL35" s="4">
        <f t="shared" si="43"/>
        <v>3</v>
      </c>
      <c r="CM35" s="4" t="str">
        <f t="shared" si="44"/>
        <v>0</v>
      </c>
      <c r="CN35" s="4" t="str">
        <f t="shared" si="45"/>
        <v>0</v>
      </c>
      <c r="CO35" s="4" t="str">
        <f t="shared" si="46"/>
        <v>0</v>
      </c>
      <c r="CP35" s="4">
        <f t="shared" si="47"/>
        <v>0</v>
      </c>
      <c r="CQ35" s="4" t="str">
        <f t="shared" si="48"/>
        <v>1</v>
      </c>
      <c r="CR35" s="4" t="str">
        <f t="shared" si="49"/>
        <v>0</v>
      </c>
      <c r="CS35" s="4" t="str">
        <f t="shared" si="50"/>
        <v>1</v>
      </c>
      <c r="CT35" s="4" t="str">
        <f t="shared" si="51"/>
        <v>0</v>
      </c>
      <c r="CU35" s="4">
        <f t="shared" si="52"/>
        <v>2</v>
      </c>
    </row>
    <row r="36" spans="1:100" x14ac:dyDescent="0.25">
      <c r="A36">
        <v>33</v>
      </c>
      <c r="C36" s="6">
        <f t="shared" ref="C36:N36" si="113">COUNTIF(C50:C154,33)</f>
        <v>0</v>
      </c>
      <c r="D36" s="6">
        <f t="shared" si="113"/>
        <v>0</v>
      </c>
      <c r="E36" s="7">
        <f t="shared" si="113"/>
        <v>0</v>
      </c>
      <c r="F36" s="23">
        <f t="shared" si="113"/>
        <v>0</v>
      </c>
      <c r="G36" s="24">
        <f t="shared" si="113"/>
        <v>0</v>
      </c>
      <c r="H36" s="7">
        <f t="shared" si="113"/>
        <v>0</v>
      </c>
      <c r="I36" s="23">
        <f t="shared" si="113"/>
        <v>0</v>
      </c>
      <c r="J36" s="24">
        <f t="shared" si="113"/>
        <v>0</v>
      </c>
      <c r="K36" s="10">
        <f t="shared" si="113"/>
        <v>0</v>
      </c>
      <c r="L36" s="10">
        <f t="shared" si="113"/>
        <v>0</v>
      </c>
      <c r="M36" s="10">
        <f t="shared" si="113"/>
        <v>0</v>
      </c>
      <c r="N36" s="6">
        <f t="shared" si="113"/>
        <v>0</v>
      </c>
      <c r="Q36" s="83">
        <f t="shared" si="14"/>
        <v>0</v>
      </c>
      <c r="R36" s="84">
        <f t="shared" si="15"/>
        <v>0</v>
      </c>
      <c r="S36" s="84">
        <f t="shared" si="16"/>
        <v>0</v>
      </c>
      <c r="T36" s="84">
        <f t="shared" si="17"/>
        <v>0</v>
      </c>
      <c r="U36" s="16" t="str">
        <f t="shared" si="1"/>
        <v xml:space="preserve"> </v>
      </c>
      <c r="V36" s="16" t="str">
        <f t="shared" si="2"/>
        <v xml:space="preserve"> </v>
      </c>
      <c r="W36" s="16" t="str">
        <f t="shared" si="3"/>
        <v xml:space="preserve"> </v>
      </c>
      <c r="X36" s="16" t="str">
        <f t="shared" si="4"/>
        <v xml:space="preserve"> </v>
      </c>
      <c r="Z36" s="84">
        <f t="shared" si="18"/>
        <v>0</v>
      </c>
      <c r="AA36" s="62" t="str">
        <f t="shared" si="5"/>
        <v xml:space="preserve"> </v>
      </c>
      <c r="AB36" s="58"/>
      <c r="AC36" s="76" t="str">
        <f t="shared" si="19"/>
        <v xml:space="preserve">33 </v>
      </c>
      <c r="AE36" s="16">
        <f t="shared" si="20"/>
        <v>0</v>
      </c>
      <c r="AF36" s="17">
        <f t="shared" si="21"/>
        <v>0</v>
      </c>
      <c r="AG36" s="17">
        <f t="shared" si="21"/>
        <v>0</v>
      </c>
      <c r="AH36" s="17">
        <f t="shared" si="22"/>
        <v>0</v>
      </c>
      <c r="AI36" s="25" t="str">
        <f t="shared" si="6"/>
        <v xml:space="preserve"> </v>
      </c>
      <c r="AJ36" s="25" t="str">
        <f t="shared" si="7"/>
        <v xml:space="preserve"> </v>
      </c>
      <c r="AK36" s="25" t="str">
        <f t="shared" si="7"/>
        <v xml:space="preserve"> </v>
      </c>
      <c r="AL36" s="16" t="str">
        <f t="shared" si="7"/>
        <v xml:space="preserve"> </v>
      </c>
      <c r="AN36" s="25" t="str">
        <f t="shared" si="8"/>
        <v xml:space="preserve"> </v>
      </c>
      <c r="AO36" s="25" t="str">
        <f t="shared" si="9"/>
        <v xml:space="preserve"> </v>
      </c>
      <c r="AP36" s="25" t="str">
        <f t="shared" si="10"/>
        <v>X</v>
      </c>
      <c r="AQ36" s="25" t="str">
        <f t="shared" si="11"/>
        <v xml:space="preserve"> </v>
      </c>
      <c r="AR36" s="25" t="str">
        <f t="shared" si="23"/>
        <v xml:space="preserve"> </v>
      </c>
      <c r="AS36" s="17">
        <f t="shared" si="24"/>
        <v>0</v>
      </c>
      <c r="AT36" s="17">
        <f t="shared" si="25"/>
        <v>0</v>
      </c>
      <c r="AV36" s="22">
        <f>STANDARDIZE(C36,C41,C42)</f>
        <v>-0.85811633032103318</v>
      </c>
      <c r="AW36" s="22">
        <f>STANDARDIZE(D36,D41,D42)</f>
        <v>-0.63222600724584721</v>
      </c>
      <c r="AX36" s="3">
        <f t="shared" si="26"/>
        <v>0</v>
      </c>
      <c r="AY36" s="3">
        <f t="shared" si="27"/>
        <v>0</v>
      </c>
      <c r="AZ36" s="22">
        <f>STANDARDIZE(AX36,AX41,AX42)</f>
        <v>-1.0237893456016525</v>
      </c>
      <c r="BA36" s="22">
        <f>STANDARDIZE(AY36,AY41,AY42)</f>
        <v>0</v>
      </c>
      <c r="BC36" s="22">
        <f t="shared" ref="BC36:BN36" si="114">STANDARDIZE(C36,C41,C42)</f>
        <v>-0.85811633032103318</v>
      </c>
      <c r="BD36" s="22">
        <f t="shared" si="114"/>
        <v>-0.63222600724584721</v>
      </c>
      <c r="BE36" s="22">
        <f t="shared" si="114"/>
        <v>-0.4509959436749138</v>
      </c>
      <c r="BF36" s="22">
        <f t="shared" si="114"/>
        <v>-0.57464408753430107</v>
      </c>
      <c r="BG36" s="22">
        <f t="shared" si="114"/>
        <v>-0.52243995676458588</v>
      </c>
      <c r="BH36" s="22">
        <f t="shared" si="114"/>
        <v>-0.64401788495707035</v>
      </c>
      <c r="BI36" s="22">
        <f t="shared" si="114"/>
        <v>-0.6188957819160148</v>
      </c>
      <c r="BJ36" s="22">
        <f t="shared" si="114"/>
        <v>-0.75045998164397798</v>
      </c>
      <c r="BK36" s="22">
        <f t="shared" si="114"/>
        <v>-0.48228762305428424</v>
      </c>
      <c r="BL36" s="22">
        <f t="shared" si="114"/>
        <v>-0.49172252823733775</v>
      </c>
      <c r="BM36" s="22">
        <f t="shared" si="114"/>
        <v>-0.4080507828129884</v>
      </c>
      <c r="BN36" s="22">
        <f t="shared" si="114"/>
        <v>-0.76224186333987731</v>
      </c>
      <c r="BP36" s="26">
        <f t="shared" si="29"/>
        <v>0</v>
      </c>
      <c r="BQ36" s="22">
        <f>STANDARDIZE(BP36,BP41,BP42)</f>
        <v>-0.64768613876538961</v>
      </c>
      <c r="BR36" s="22">
        <f t="shared" si="30"/>
        <v>0</v>
      </c>
      <c r="BS36" s="22">
        <f>STANDARDIZE(BR36,BR41,BR42)</f>
        <v>-0.82394326136316476</v>
      </c>
      <c r="BT36" s="22"/>
      <c r="BU36" s="26">
        <f t="shared" si="31"/>
        <v>0</v>
      </c>
      <c r="BV36" s="22">
        <f>STANDARDIZE(BU36,BU41,BU42)</f>
        <v>-0.85668589703726605</v>
      </c>
      <c r="BW36" s="22"/>
      <c r="BX36" s="26">
        <f t="shared" si="32"/>
        <v>0</v>
      </c>
      <c r="BY36" s="22">
        <f>STANDARDIZE(BX36,BX41,BX42)</f>
        <v>-0.49511509527680769</v>
      </c>
      <c r="BZ36"/>
      <c r="CA36" s="4" t="str">
        <f t="shared" si="33"/>
        <v>0</v>
      </c>
      <c r="CB36" s="4" t="str">
        <f t="shared" si="34"/>
        <v>0</v>
      </c>
      <c r="CC36" s="4" t="str">
        <f t="shared" si="35"/>
        <v>1</v>
      </c>
      <c r="CD36" s="4">
        <f t="shared" si="36"/>
        <v>1</v>
      </c>
      <c r="CE36" s="4" t="str">
        <f t="shared" si="37"/>
        <v>0</v>
      </c>
      <c r="CF36" s="4" t="str">
        <f t="shared" si="38"/>
        <v>0</v>
      </c>
      <c r="CG36" s="4" t="str">
        <f t="shared" si="39"/>
        <v>1</v>
      </c>
      <c r="CH36" s="4">
        <f t="shared" si="40"/>
        <v>1</v>
      </c>
      <c r="CI36" s="4" t="str">
        <f t="shared" si="41"/>
        <v>1</v>
      </c>
      <c r="CJ36" s="4" t="str">
        <f t="shared" si="42"/>
        <v>1</v>
      </c>
      <c r="CK36" s="4" t="str">
        <f t="shared" si="42"/>
        <v>1</v>
      </c>
      <c r="CL36" s="4">
        <f t="shared" si="43"/>
        <v>3</v>
      </c>
      <c r="CM36" s="4" t="str">
        <f t="shared" si="44"/>
        <v>0</v>
      </c>
      <c r="CN36" s="4" t="str">
        <f t="shared" si="45"/>
        <v>0</v>
      </c>
      <c r="CO36" s="4" t="str">
        <f t="shared" si="46"/>
        <v>0</v>
      </c>
      <c r="CP36" s="4">
        <f t="shared" si="47"/>
        <v>0</v>
      </c>
      <c r="CQ36" s="4" t="str">
        <f t="shared" si="48"/>
        <v>1</v>
      </c>
      <c r="CR36" s="4" t="str">
        <f t="shared" si="49"/>
        <v>0</v>
      </c>
      <c r="CS36" s="4" t="str">
        <f t="shared" si="50"/>
        <v>1</v>
      </c>
      <c r="CT36" s="4" t="str">
        <f t="shared" si="51"/>
        <v>0</v>
      </c>
      <c r="CU36" s="4">
        <f t="shared" si="52"/>
        <v>2</v>
      </c>
    </row>
    <row r="37" spans="1:100" x14ac:dyDescent="0.25">
      <c r="A37">
        <v>34</v>
      </c>
      <c r="C37" s="6">
        <f t="shared" ref="C37:N37" si="115">COUNTIF(C50:C154,34)</f>
        <v>0</v>
      </c>
      <c r="D37" s="6">
        <f t="shared" si="115"/>
        <v>0</v>
      </c>
      <c r="E37" s="7">
        <f t="shared" si="115"/>
        <v>0</v>
      </c>
      <c r="F37" s="23">
        <f t="shared" si="115"/>
        <v>0</v>
      </c>
      <c r="G37" s="24">
        <f t="shared" si="115"/>
        <v>0</v>
      </c>
      <c r="H37" s="7">
        <f t="shared" si="115"/>
        <v>0</v>
      </c>
      <c r="I37" s="23">
        <f t="shared" si="115"/>
        <v>0</v>
      </c>
      <c r="J37" s="24">
        <f t="shared" si="115"/>
        <v>0</v>
      </c>
      <c r="K37" s="10">
        <f t="shared" si="115"/>
        <v>0</v>
      </c>
      <c r="L37" s="10">
        <f t="shared" si="115"/>
        <v>0</v>
      </c>
      <c r="M37" s="10">
        <f t="shared" si="115"/>
        <v>0</v>
      </c>
      <c r="N37" s="6">
        <f t="shared" si="115"/>
        <v>0</v>
      </c>
      <c r="Q37" s="83">
        <f t="shared" si="14"/>
        <v>0</v>
      </c>
      <c r="R37" s="84">
        <f t="shared" si="15"/>
        <v>0</v>
      </c>
      <c r="S37" s="84">
        <f t="shared" si="16"/>
        <v>0</v>
      </c>
      <c r="T37" s="84">
        <f t="shared" si="17"/>
        <v>0</v>
      </c>
      <c r="U37" s="16" t="str">
        <f t="shared" si="1"/>
        <v xml:space="preserve"> </v>
      </c>
      <c r="V37" s="16" t="str">
        <f t="shared" si="2"/>
        <v xml:space="preserve"> </v>
      </c>
      <c r="W37" s="16" t="str">
        <f t="shared" si="3"/>
        <v xml:space="preserve"> </v>
      </c>
      <c r="X37" s="16" t="str">
        <f t="shared" si="4"/>
        <v xml:space="preserve"> </v>
      </c>
      <c r="Z37" s="84">
        <f t="shared" si="18"/>
        <v>0</v>
      </c>
      <c r="AA37" s="62" t="str">
        <f t="shared" si="5"/>
        <v xml:space="preserve"> </v>
      </c>
      <c r="AB37" s="58"/>
      <c r="AC37" s="76" t="str">
        <f t="shared" si="19"/>
        <v xml:space="preserve">34 </v>
      </c>
      <c r="AE37" s="16">
        <f t="shared" si="20"/>
        <v>0</v>
      </c>
      <c r="AF37" s="17">
        <f t="shared" si="21"/>
        <v>0</v>
      </c>
      <c r="AG37" s="17">
        <f t="shared" si="21"/>
        <v>0</v>
      </c>
      <c r="AH37" s="17">
        <f t="shared" si="22"/>
        <v>0</v>
      </c>
      <c r="AI37" s="25" t="str">
        <f t="shared" si="6"/>
        <v xml:space="preserve"> </v>
      </c>
      <c r="AJ37" s="25" t="str">
        <f t="shared" si="7"/>
        <v xml:space="preserve"> </v>
      </c>
      <c r="AK37" s="25" t="str">
        <f t="shared" si="7"/>
        <v xml:space="preserve"> </v>
      </c>
      <c r="AL37" s="16" t="str">
        <f t="shared" si="7"/>
        <v xml:space="preserve"> </v>
      </c>
      <c r="AN37" s="25" t="str">
        <f t="shared" si="8"/>
        <v xml:space="preserve"> </v>
      </c>
      <c r="AO37" s="25" t="str">
        <f t="shared" si="9"/>
        <v xml:space="preserve"> </v>
      </c>
      <c r="AP37" s="25" t="str">
        <f t="shared" si="10"/>
        <v>X</v>
      </c>
      <c r="AQ37" s="25" t="str">
        <f t="shared" si="11"/>
        <v xml:space="preserve"> </v>
      </c>
      <c r="AR37" s="25" t="str">
        <f t="shared" si="23"/>
        <v xml:space="preserve"> </v>
      </c>
      <c r="AS37" s="17">
        <f t="shared" si="24"/>
        <v>0</v>
      </c>
      <c r="AT37" s="17">
        <f t="shared" si="25"/>
        <v>0</v>
      </c>
      <c r="AV37" s="22">
        <f>STANDARDIZE(C37,C41,C42)</f>
        <v>-0.85811633032103318</v>
      </c>
      <c r="AW37" s="22">
        <f>STANDARDIZE(D37,D41,D42)</f>
        <v>-0.63222600724584721</v>
      </c>
      <c r="AX37" s="3">
        <f t="shared" si="26"/>
        <v>0</v>
      </c>
      <c r="AY37" s="3">
        <f t="shared" si="27"/>
        <v>0</v>
      </c>
      <c r="AZ37" s="22">
        <f>STANDARDIZE(AX37,AX41,AX42)</f>
        <v>-1.0237893456016525</v>
      </c>
      <c r="BA37" s="22">
        <f>STANDARDIZE(AY37,AY41,AY42)</f>
        <v>0</v>
      </c>
      <c r="BC37" s="22">
        <f t="shared" ref="BC37:BN37" si="116">STANDARDIZE(C37,C41,C42)</f>
        <v>-0.85811633032103318</v>
      </c>
      <c r="BD37" s="22">
        <f t="shared" si="116"/>
        <v>-0.63222600724584721</v>
      </c>
      <c r="BE37" s="22">
        <f t="shared" si="116"/>
        <v>-0.4509959436749138</v>
      </c>
      <c r="BF37" s="22">
        <f t="shared" si="116"/>
        <v>-0.57464408753430107</v>
      </c>
      <c r="BG37" s="22">
        <f t="shared" si="116"/>
        <v>-0.52243995676458588</v>
      </c>
      <c r="BH37" s="22">
        <f t="shared" si="116"/>
        <v>-0.64401788495707035</v>
      </c>
      <c r="BI37" s="22">
        <f t="shared" si="116"/>
        <v>-0.6188957819160148</v>
      </c>
      <c r="BJ37" s="22">
        <f t="shared" si="116"/>
        <v>-0.75045998164397798</v>
      </c>
      <c r="BK37" s="22">
        <f t="shared" si="116"/>
        <v>-0.48228762305428424</v>
      </c>
      <c r="BL37" s="22">
        <f t="shared" si="116"/>
        <v>-0.49172252823733775</v>
      </c>
      <c r="BM37" s="22">
        <f t="shared" si="116"/>
        <v>-0.4080507828129884</v>
      </c>
      <c r="BN37" s="22">
        <f t="shared" si="116"/>
        <v>-0.76224186333987731</v>
      </c>
      <c r="BP37" s="26">
        <f t="shared" si="29"/>
        <v>0</v>
      </c>
      <c r="BQ37" s="22">
        <f>STANDARDIZE(BP37,BP41,BP42)</f>
        <v>-0.64768613876538961</v>
      </c>
      <c r="BR37" s="22">
        <f t="shared" si="30"/>
        <v>0</v>
      </c>
      <c r="BS37" s="22">
        <f>STANDARDIZE(BR37,BR41,BR42)</f>
        <v>-0.82394326136316476</v>
      </c>
      <c r="BT37" s="22"/>
      <c r="BU37" s="26">
        <f t="shared" si="31"/>
        <v>0</v>
      </c>
      <c r="BV37" s="22">
        <f>STANDARDIZE(BU37,BU41,BU42)</f>
        <v>-0.85668589703726605</v>
      </c>
      <c r="BW37" s="22"/>
      <c r="BX37" s="26">
        <f t="shared" si="32"/>
        <v>0</v>
      </c>
      <c r="BY37" s="22">
        <f>STANDARDIZE(BX37,BX41,BX42)</f>
        <v>-0.49511509527680769</v>
      </c>
      <c r="BZ37"/>
      <c r="CA37" s="4" t="str">
        <f t="shared" si="33"/>
        <v>0</v>
      </c>
      <c r="CB37" s="4" t="str">
        <f t="shared" si="34"/>
        <v>0</v>
      </c>
      <c r="CC37" s="4" t="str">
        <f t="shared" si="35"/>
        <v>1</v>
      </c>
      <c r="CD37" s="4">
        <f t="shared" si="36"/>
        <v>1</v>
      </c>
      <c r="CE37" s="4" t="str">
        <f t="shared" si="37"/>
        <v>0</v>
      </c>
      <c r="CF37" s="4" t="str">
        <f t="shared" si="38"/>
        <v>0</v>
      </c>
      <c r="CG37" s="4" t="str">
        <f t="shared" si="39"/>
        <v>1</v>
      </c>
      <c r="CH37" s="4">
        <f t="shared" si="40"/>
        <v>1</v>
      </c>
      <c r="CI37" s="4" t="str">
        <f t="shared" si="41"/>
        <v>1</v>
      </c>
      <c r="CJ37" s="4" t="str">
        <f t="shared" si="42"/>
        <v>1</v>
      </c>
      <c r="CK37" s="4" t="str">
        <f t="shared" si="42"/>
        <v>1</v>
      </c>
      <c r="CL37" s="4">
        <f t="shared" si="43"/>
        <v>3</v>
      </c>
      <c r="CM37" s="4" t="str">
        <f t="shared" si="44"/>
        <v>0</v>
      </c>
      <c r="CN37" s="4" t="str">
        <f t="shared" si="45"/>
        <v>0</v>
      </c>
      <c r="CO37" s="4" t="str">
        <f t="shared" si="46"/>
        <v>0</v>
      </c>
      <c r="CP37" s="4">
        <f t="shared" si="47"/>
        <v>0</v>
      </c>
      <c r="CQ37" s="4" t="str">
        <f t="shared" si="48"/>
        <v>1</v>
      </c>
      <c r="CR37" s="4" t="str">
        <f t="shared" si="49"/>
        <v>0</v>
      </c>
      <c r="CS37" s="4" t="str">
        <f t="shared" si="50"/>
        <v>1</v>
      </c>
      <c r="CT37" s="4" t="str">
        <f t="shared" si="51"/>
        <v>0</v>
      </c>
      <c r="CU37" s="4">
        <f t="shared" si="52"/>
        <v>2</v>
      </c>
    </row>
    <row r="38" spans="1:100" x14ac:dyDescent="0.25">
      <c r="A38">
        <v>35</v>
      </c>
      <c r="C38" s="6">
        <f t="shared" ref="C38:N38" si="117">COUNTIF(C50:C154,35)</f>
        <v>0</v>
      </c>
      <c r="D38" s="6">
        <f t="shared" si="117"/>
        <v>0</v>
      </c>
      <c r="E38" s="7">
        <f t="shared" si="117"/>
        <v>0</v>
      </c>
      <c r="F38" s="23">
        <f t="shared" si="117"/>
        <v>0</v>
      </c>
      <c r="G38" s="24">
        <f t="shared" si="117"/>
        <v>0</v>
      </c>
      <c r="H38" s="7">
        <f t="shared" si="117"/>
        <v>0</v>
      </c>
      <c r="I38" s="23">
        <f t="shared" si="117"/>
        <v>0</v>
      </c>
      <c r="J38" s="24">
        <f t="shared" si="117"/>
        <v>0</v>
      </c>
      <c r="K38" s="10">
        <f t="shared" si="117"/>
        <v>0</v>
      </c>
      <c r="L38" s="10">
        <f t="shared" si="117"/>
        <v>0</v>
      </c>
      <c r="M38" s="10">
        <f t="shared" si="117"/>
        <v>0</v>
      </c>
      <c r="N38" s="6">
        <f t="shared" si="117"/>
        <v>0</v>
      </c>
      <c r="Q38" s="83">
        <f t="shared" si="14"/>
        <v>0</v>
      </c>
      <c r="R38" s="85">
        <f t="shared" si="15"/>
        <v>0</v>
      </c>
      <c r="S38" s="85">
        <f t="shared" si="16"/>
        <v>0</v>
      </c>
      <c r="T38" s="84">
        <f t="shared" si="17"/>
        <v>0</v>
      </c>
      <c r="U38" s="36" t="str">
        <f t="shared" si="1"/>
        <v xml:space="preserve"> </v>
      </c>
      <c r="V38" s="36" t="str">
        <f t="shared" si="2"/>
        <v xml:space="preserve"> </v>
      </c>
      <c r="W38" s="36" t="str">
        <f t="shared" si="3"/>
        <v xml:space="preserve"> </v>
      </c>
      <c r="X38" s="16" t="str">
        <f t="shared" si="4"/>
        <v xml:space="preserve"> </v>
      </c>
      <c r="Z38" s="84">
        <f t="shared" si="18"/>
        <v>0</v>
      </c>
      <c r="AA38" s="62" t="str">
        <f t="shared" si="5"/>
        <v xml:space="preserve"> </v>
      </c>
      <c r="AB38" s="25"/>
      <c r="AC38" s="76" t="str">
        <f t="shared" si="19"/>
        <v xml:space="preserve">35 </v>
      </c>
      <c r="AE38" s="36">
        <f t="shared" si="20"/>
        <v>0</v>
      </c>
      <c r="AF38" s="37">
        <f t="shared" si="21"/>
        <v>0</v>
      </c>
      <c r="AG38" s="37">
        <f t="shared" si="21"/>
        <v>0</v>
      </c>
      <c r="AH38" s="37">
        <f t="shared" si="22"/>
        <v>0</v>
      </c>
      <c r="AI38" s="58" t="str">
        <f t="shared" si="6"/>
        <v xml:space="preserve"> </v>
      </c>
      <c r="AJ38" s="58" t="str">
        <f t="shared" si="7"/>
        <v xml:space="preserve"> </v>
      </c>
      <c r="AK38" s="58" t="str">
        <f t="shared" si="7"/>
        <v xml:space="preserve"> </v>
      </c>
      <c r="AL38" s="36" t="str">
        <f t="shared" si="7"/>
        <v xml:space="preserve"> </v>
      </c>
      <c r="AN38" s="58" t="str">
        <f t="shared" si="8"/>
        <v xml:space="preserve"> </v>
      </c>
      <c r="AO38" s="58" t="str">
        <f t="shared" si="9"/>
        <v xml:space="preserve"> </v>
      </c>
      <c r="AP38" s="58" t="str">
        <f t="shared" si="10"/>
        <v>X</v>
      </c>
      <c r="AQ38" s="58" t="str">
        <f t="shared" si="11"/>
        <v xml:space="preserve"> </v>
      </c>
      <c r="AR38" s="25" t="str">
        <f t="shared" si="23"/>
        <v xml:space="preserve"> </v>
      </c>
      <c r="AS38" s="37">
        <f t="shared" si="24"/>
        <v>0</v>
      </c>
      <c r="AT38" s="37">
        <f t="shared" si="25"/>
        <v>0</v>
      </c>
      <c r="AV38" s="22">
        <f>STANDARDIZE(C38,C41,C42)</f>
        <v>-0.85811633032103318</v>
      </c>
      <c r="AW38" s="22">
        <f>STANDARDIZE(D38,D41,D42)</f>
        <v>-0.63222600724584721</v>
      </c>
      <c r="AX38" s="3">
        <f t="shared" si="26"/>
        <v>0</v>
      </c>
      <c r="AY38" s="3">
        <f t="shared" si="27"/>
        <v>0</v>
      </c>
      <c r="AZ38" s="22">
        <f>STANDARDIZE(AX38,AX41,AX42)</f>
        <v>-1.0237893456016525</v>
      </c>
      <c r="BA38" s="22">
        <f>STANDARDIZE(AY38,AY41,AY42)</f>
        <v>0</v>
      </c>
      <c r="BC38" s="22">
        <f t="shared" ref="BC38:BN38" si="118">STANDARDIZE(C38,C41,C42)</f>
        <v>-0.85811633032103318</v>
      </c>
      <c r="BD38" s="22">
        <f t="shared" si="118"/>
        <v>-0.63222600724584721</v>
      </c>
      <c r="BE38" s="22">
        <f t="shared" si="118"/>
        <v>-0.4509959436749138</v>
      </c>
      <c r="BF38" s="22">
        <f t="shared" si="118"/>
        <v>-0.57464408753430107</v>
      </c>
      <c r="BG38" s="22">
        <f t="shared" si="118"/>
        <v>-0.52243995676458588</v>
      </c>
      <c r="BH38" s="22">
        <f t="shared" si="118"/>
        <v>-0.64401788495707035</v>
      </c>
      <c r="BI38" s="22">
        <f t="shared" si="118"/>
        <v>-0.6188957819160148</v>
      </c>
      <c r="BJ38" s="22">
        <f t="shared" si="118"/>
        <v>-0.75045998164397798</v>
      </c>
      <c r="BK38" s="22">
        <f t="shared" si="118"/>
        <v>-0.48228762305428424</v>
      </c>
      <c r="BL38" s="22">
        <f t="shared" si="118"/>
        <v>-0.49172252823733775</v>
      </c>
      <c r="BM38" s="22">
        <f t="shared" si="118"/>
        <v>-0.4080507828129884</v>
      </c>
      <c r="BN38" s="22">
        <f t="shared" si="118"/>
        <v>-0.76224186333987731</v>
      </c>
      <c r="BP38" s="26">
        <f t="shared" si="29"/>
        <v>0</v>
      </c>
      <c r="BQ38" s="22">
        <f>STANDARDIZE(BP38,BP41,BP42)</f>
        <v>-0.64768613876538961</v>
      </c>
      <c r="BR38" s="22">
        <f t="shared" si="30"/>
        <v>0</v>
      </c>
      <c r="BS38" s="22">
        <f>STANDARDIZE(BR38,BR41,BR42)</f>
        <v>-0.82394326136316476</v>
      </c>
      <c r="BT38" s="22"/>
      <c r="BU38" s="26">
        <f t="shared" si="31"/>
        <v>0</v>
      </c>
      <c r="BV38" s="22">
        <f>STANDARDIZE(BU38,BU41,BU42)</f>
        <v>-0.85668589703726605</v>
      </c>
      <c r="BW38" s="22"/>
      <c r="BX38" s="26">
        <f t="shared" si="32"/>
        <v>0</v>
      </c>
      <c r="BY38" s="22">
        <f>STANDARDIZE(BX38,BX41,BX42)</f>
        <v>-0.49511509527680769</v>
      </c>
      <c r="BZ38"/>
      <c r="CA38" s="4" t="str">
        <f t="shared" si="33"/>
        <v>0</v>
      </c>
      <c r="CB38" s="4" t="str">
        <f t="shared" si="34"/>
        <v>0</v>
      </c>
      <c r="CC38" s="4" t="str">
        <f t="shared" si="35"/>
        <v>1</v>
      </c>
      <c r="CD38" s="4">
        <f t="shared" si="36"/>
        <v>1</v>
      </c>
      <c r="CE38" s="4" t="str">
        <f t="shared" si="37"/>
        <v>0</v>
      </c>
      <c r="CF38" s="4" t="str">
        <f t="shared" si="38"/>
        <v>0</v>
      </c>
      <c r="CG38" s="4" t="str">
        <f t="shared" si="39"/>
        <v>1</v>
      </c>
      <c r="CH38" s="4">
        <f t="shared" si="40"/>
        <v>1</v>
      </c>
      <c r="CI38" s="4" t="str">
        <f t="shared" si="41"/>
        <v>1</v>
      </c>
      <c r="CJ38" s="4" t="str">
        <f t="shared" si="42"/>
        <v>1</v>
      </c>
      <c r="CK38" s="4" t="str">
        <f t="shared" si="42"/>
        <v>1</v>
      </c>
      <c r="CL38" s="4">
        <f t="shared" si="43"/>
        <v>3</v>
      </c>
      <c r="CM38" s="4" t="str">
        <f t="shared" si="44"/>
        <v>0</v>
      </c>
      <c r="CN38" s="4" t="str">
        <f t="shared" si="45"/>
        <v>0</v>
      </c>
      <c r="CO38" s="4" t="str">
        <f t="shared" si="46"/>
        <v>0</v>
      </c>
      <c r="CP38" s="4">
        <f t="shared" si="47"/>
        <v>0</v>
      </c>
      <c r="CQ38" s="4" t="str">
        <f t="shared" si="48"/>
        <v>1</v>
      </c>
      <c r="CR38" s="4" t="str">
        <f t="shared" si="49"/>
        <v>0</v>
      </c>
      <c r="CS38" s="4" t="str">
        <f t="shared" si="50"/>
        <v>1</v>
      </c>
      <c r="CT38" s="4" t="str">
        <f t="shared" si="51"/>
        <v>0</v>
      </c>
      <c r="CU38" s="4">
        <f t="shared" si="52"/>
        <v>2</v>
      </c>
    </row>
    <row r="39" spans="1:100" x14ac:dyDescent="0.25">
      <c r="B39" s="27" t="s">
        <v>80</v>
      </c>
      <c r="C39">
        <f t="shared" ref="C39:N39" si="119">COUNTIF(C50:C154,0)</f>
        <v>0</v>
      </c>
      <c r="D39">
        <f t="shared" si="119"/>
        <v>0</v>
      </c>
      <c r="E39">
        <f t="shared" si="119"/>
        <v>0</v>
      </c>
      <c r="F39">
        <f t="shared" si="119"/>
        <v>0</v>
      </c>
      <c r="G39">
        <f t="shared" si="119"/>
        <v>0</v>
      </c>
      <c r="H39">
        <f t="shared" si="119"/>
        <v>0</v>
      </c>
      <c r="I39">
        <f t="shared" si="119"/>
        <v>0</v>
      </c>
      <c r="J39">
        <f t="shared" si="119"/>
        <v>0</v>
      </c>
      <c r="K39">
        <f t="shared" si="119"/>
        <v>0</v>
      </c>
      <c r="L39">
        <f t="shared" si="119"/>
        <v>0</v>
      </c>
      <c r="M39">
        <f t="shared" si="119"/>
        <v>0</v>
      </c>
      <c r="N39">
        <f t="shared" si="119"/>
        <v>0</v>
      </c>
      <c r="O39"/>
      <c r="P39"/>
      <c r="Q39" s="38"/>
      <c r="R39" s="39"/>
      <c r="S39" s="39"/>
      <c r="T39" s="39"/>
      <c r="U39" s="39"/>
      <c r="V39" s="39"/>
      <c r="W39" s="39"/>
      <c r="X39" s="39"/>
      <c r="Y39" s="39"/>
      <c r="Z39" s="39"/>
      <c r="AA39" s="39"/>
      <c r="AC39" s="40"/>
      <c r="AD39" s="1"/>
      <c r="AE39" s="38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56"/>
      <c r="AV39" s="22"/>
      <c r="AW39" s="26"/>
      <c r="AX39" s="26"/>
      <c r="AZ39" s="22"/>
      <c r="BA39" s="22"/>
      <c r="BQ39" s="26"/>
      <c r="BR39" s="22"/>
      <c r="BS39" s="22"/>
      <c r="BT39" s="26"/>
      <c r="BU39" s="22"/>
      <c r="BV39" s="22"/>
      <c r="BW39" s="22"/>
      <c r="BX39" s="26"/>
      <c r="BY39" s="26"/>
      <c r="BZ39"/>
      <c r="CA39"/>
      <c r="CB39"/>
      <c r="CC39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B40" s="27" t="s">
        <v>81</v>
      </c>
      <c r="C40">
        <f t="shared" ref="C40:N40" si="120">SUM(C4:C39)</f>
        <v>63</v>
      </c>
      <c r="D40">
        <f t="shared" si="120"/>
        <v>63</v>
      </c>
      <c r="E40">
        <f t="shared" si="120"/>
        <v>63</v>
      </c>
      <c r="F40">
        <f t="shared" si="120"/>
        <v>63</v>
      </c>
      <c r="G40">
        <f t="shared" si="120"/>
        <v>63</v>
      </c>
      <c r="H40">
        <f t="shared" si="120"/>
        <v>63</v>
      </c>
      <c r="I40">
        <f t="shared" si="120"/>
        <v>63</v>
      </c>
      <c r="J40">
        <f t="shared" si="120"/>
        <v>63</v>
      </c>
      <c r="K40">
        <f t="shared" si="120"/>
        <v>63</v>
      </c>
      <c r="L40">
        <f t="shared" si="120"/>
        <v>63</v>
      </c>
      <c r="M40">
        <f t="shared" si="120"/>
        <v>63</v>
      </c>
      <c r="N40">
        <f t="shared" si="120"/>
        <v>63</v>
      </c>
      <c r="O40"/>
      <c r="P40"/>
      <c r="Q40" s="42">
        <f>AVERAGE(Q4:Q38)</f>
        <v>5.4</v>
      </c>
      <c r="R40" s="22">
        <f>AVERAGE(R4:R38)</f>
        <v>1.8</v>
      </c>
      <c r="S40" s="22">
        <f>AVERAGE(S4:S38)</f>
        <v>1.8</v>
      </c>
      <c r="T40" s="22">
        <f>AVERAGE(T4:T38)</f>
        <v>1.8</v>
      </c>
      <c r="Z40" s="22">
        <f>AVERAGE(Z4:Z38)</f>
        <v>1.8</v>
      </c>
      <c r="AC40" s="41"/>
      <c r="AD40" s="1"/>
      <c r="AE40" s="42">
        <f>AVERAGE(AE4:AE38)</f>
        <v>5.4</v>
      </c>
      <c r="AF40" s="22">
        <f>AVERAGE(AF4:AF38)</f>
        <v>1.8</v>
      </c>
      <c r="AG40" s="22">
        <f>AVERAGE(AG4:AG38)</f>
        <v>1.8</v>
      </c>
      <c r="AH40" s="22">
        <f>AVERAGE(AH4:AH38)</f>
        <v>1.8</v>
      </c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>
        <f>AVERAGE(AS4:AS38)</f>
        <v>1.8</v>
      </c>
      <c r="AT40" s="59">
        <f>AVERAGE(AT4:AT38)</f>
        <v>1.8</v>
      </c>
      <c r="AV40" s="22"/>
      <c r="AW40" s="26"/>
      <c r="AX40" s="26"/>
      <c r="AZ40" s="22"/>
      <c r="BA40" s="22"/>
      <c r="BQ40" s="26"/>
      <c r="BR40" s="22"/>
      <c r="BS40" s="22"/>
      <c r="BT40" s="26"/>
      <c r="BU40" s="22"/>
      <c r="BV40" s="22"/>
      <c r="BW40" s="22"/>
      <c r="BX40" s="26"/>
      <c r="BY40" s="26"/>
      <c r="BZ40"/>
      <c r="CA40"/>
      <c r="CB40"/>
      <c r="CC40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5">
      <c r="A41" s="22"/>
      <c r="B41" s="28" t="s">
        <v>36</v>
      </c>
      <c r="C41" s="22">
        <f t="shared" ref="C41:N41" si="121">AVERAGE(C4:C38)</f>
        <v>1.8</v>
      </c>
      <c r="D41" s="22">
        <f t="shared" si="121"/>
        <v>1.8</v>
      </c>
      <c r="E41" s="22">
        <f t="shared" si="121"/>
        <v>1.8</v>
      </c>
      <c r="F41" s="22">
        <f t="shared" si="121"/>
        <v>1.8</v>
      </c>
      <c r="G41" s="22">
        <f t="shared" si="121"/>
        <v>1.8</v>
      </c>
      <c r="H41" s="22">
        <f t="shared" si="121"/>
        <v>1.8</v>
      </c>
      <c r="I41" s="22">
        <f t="shared" si="121"/>
        <v>1.8</v>
      </c>
      <c r="J41" s="22">
        <f t="shared" si="121"/>
        <v>1.8</v>
      </c>
      <c r="K41" s="22">
        <f t="shared" si="121"/>
        <v>1.8</v>
      </c>
      <c r="L41" s="22">
        <f t="shared" si="121"/>
        <v>1.8</v>
      </c>
      <c r="M41" s="22">
        <f t="shared" si="121"/>
        <v>1.8</v>
      </c>
      <c r="N41" s="22">
        <f t="shared" si="121"/>
        <v>1.8</v>
      </c>
      <c r="O41" s="22"/>
      <c r="P41" s="22"/>
      <c r="Q41" s="43">
        <f>STDEV(Q4:Q38)</f>
        <v>6.5538493403854341</v>
      </c>
      <c r="R41" s="35">
        <f>STDEV(R4:R38)</f>
        <v>3.4453720024540337</v>
      </c>
      <c r="S41" s="35">
        <f>STDEV(S4:S38)</f>
        <v>2.3985289609405571</v>
      </c>
      <c r="T41" s="35">
        <f>STDEV(T4:T38)</f>
        <v>2.7791238568593353</v>
      </c>
      <c r="U41" s="35"/>
      <c r="V41" s="35"/>
      <c r="W41" s="35"/>
      <c r="X41" s="35"/>
      <c r="Y41" s="35"/>
      <c r="Z41" s="35">
        <f>STDEV(Z4:Z38)</f>
        <v>2.1011201494329019</v>
      </c>
      <c r="AA41" s="35"/>
      <c r="AB41" s="35"/>
      <c r="AC41" s="44"/>
      <c r="AD41" s="26"/>
      <c r="AE41" s="43">
        <f>STDEV(AE4:AE38)</f>
        <v>10.906554963711987</v>
      </c>
      <c r="AF41" s="35">
        <f>STDEV(AF4:AF38)</f>
        <v>3.7322127169691015</v>
      </c>
      <c r="AG41" s="35">
        <f>STDEV(AG4:AG38)</f>
        <v>3.6606010435446255</v>
      </c>
      <c r="AH41" s="35">
        <f>STDEV(AH4:AH38)</f>
        <v>4.4112156521090382</v>
      </c>
      <c r="AI41" s="35"/>
      <c r="AJ41" s="35"/>
      <c r="AK41" s="35"/>
      <c r="AL41" s="35"/>
      <c r="AM41" s="60"/>
      <c r="AN41" s="35"/>
      <c r="AO41" s="35"/>
      <c r="AP41" s="35"/>
      <c r="AQ41" s="35"/>
      <c r="AR41" s="35"/>
      <c r="AS41" s="35">
        <f>STDEV(AS4:AS38)</f>
        <v>2.0976176963403028</v>
      </c>
      <c r="AT41" s="61">
        <f>STDEV(AT4:AT38)</f>
        <v>2.8470831306692079</v>
      </c>
      <c r="AU41" s="22"/>
      <c r="AV41" s="22">
        <f t="shared" ref="AV41:BA41" si="122">AVERAGE(AV4:AV38)</f>
        <v>0</v>
      </c>
      <c r="AW41" s="22">
        <f t="shared" si="122"/>
        <v>-1.6494742080145183E-16</v>
      </c>
      <c r="AX41" s="22">
        <f t="shared" si="122"/>
        <v>3.6</v>
      </c>
      <c r="AY41" s="3">
        <f t="shared" si="122"/>
        <v>0</v>
      </c>
      <c r="AZ41" s="22">
        <f t="shared" si="122"/>
        <v>-1.0150610510858574E-16</v>
      </c>
      <c r="BA41" s="22">
        <f t="shared" si="122"/>
        <v>-6.3441315692866086E-18</v>
      </c>
      <c r="BB41" s="22"/>
      <c r="BC41" s="22">
        <f t="shared" ref="BC41:BN41" si="123">AVERAGE(BC4:BC38)</f>
        <v>0</v>
      </c>
      <c r="BD41" s="22">
        <f t="shared" si="123"/>
        <v>-1.6494742080145183E-16</v>
      </c>
      <c r="BE41" s="22">
        <f t="shared" si="123"/>
        <v>-6.9785447262152695E-17</v>
      </c>
      <c r="BF41" s="22">
        <f t="shared" si="123"/>
        <v>7.6129578831439306E-17</v>
      </c>
      <c r="BG41" s="22">
        <f t="shared" si="123"/>
        <v>-1.2688263138573217E-16</v>
      </c>
      <c r="BH41" s="22">
        <f t="shared" si="123"/>
        <v>0</v>
      </c>
      <c r="BI41" s="22">
        <f t="shared" si="123"/>
        <v>-5.0753052554292869E-17</v>
      </c>
      <c r="BJ41" s="22">
        <f t="shared" si="123"/>
        <v>4.4408920985006264E-17</v>
      </c>
      <c r="BK41" s="22">
        <f t="shared" si="123"/>
        <v>7.2957513046796001E-17</v>
      </c>
      <c r="BL41" s="22">
        <f t="shared" si="123"/>
        <v>0</v>
      </c>
      <c r="BM41" s="22">
        <f t="shared" si="123"/>
        <v>1.0467817089322904E-16</v>
      </c>
      <c r="BN41" s="22">
        <f t="shared" si="123"/>
        <v>0</v>
      </c>
      <c r="BO41" s="22"/>
      <c r="BP41" s="22">
        <f>AVERAGE(BP4:BP38)</f>
        <v>3.6</v>
      </c>
      <c r="BQ41" s="22">
        <f>AVERAGE(BQ4:BQ38)</f>
        <v>2.5376526277146434E-17</v>
      </c>
      <c r="BR41" s="22">
        <f>AVERAGE(BR4:BR38)</f>
        <v>5.4</v>
      </c>
      <c r="BS41" s="22">
        <f>AVERAGE(BS4:BS38)</f>
        <v>-5.0753052554292869E-17</v>
      </c>
      <c r="BT41" s="22"/>
      <c r="BU41" s="22">
        <f>AVERAGE(BU4:BU38)</f>
        <v>3.6</v>
      </c>
      <c r="BV41" s="22">
        <f>AVERAGE(BV4:BV38)</f>
        <v>-9.5161973539299127E-17</v>
      </c>
      <c r="BW41" s="22"/>
      <c r="BX41" s="22">
        <f>AVERAGE(BX4:BX38)</f>
        <v>5.4</v>
      </c>
      <c r="BY41" s="22">
        <f>AVERAGE(BY4:BY38)</f>
        <v>-1.5860328923216521E-17</v>
      </c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</row>
    <row r="42" spans="1:100" x14ac:dyDescent="0.25">
      <c r="A42" s="22"/>
      <c r="B42" s="28" t="s">
        <v>79</v>
      </c>
      <c r="C42" s="26">
        <f t="shared" ref="C42:N42" si="124">STDEV(C4:C38)</f>
        <v>2.0976176963403028</v>
      </c>
      <c r="D42" s="26">
        <f t="shared" si="124"/>
        <v>2.8470831306692079</v>
      </c>
      <c r="E42" s="26">
        <f t="shared" si="124"/>
        <v>3.9911667172276681</v>
      </c>
      <c r="F42" s="26">
        <f t="shared" si="124"/>
        <v>3.1323736536183473</v>
      </c>
      <c r="G42" s="26">
        <f t="shared" si="124"/>
        <v>3.4453720024540337</v>
      </c>
      <c r="H42" s="26">
        <f t="shared" si="124"/>
        <v>2.7949534353692465</v>
      </c>
      <c r="I42" s="26">
        <f t="shared" si="124"/>
        <v>2.9084056679582657</v>
      </c>
      <c r="J42" s="26">
        <f t="shared" si="124"/>
        <v>2.3985289609405571</v>
      </c>
      <c r="K42" s="26">
        <f t="shared" si="124"/>
        <v>3.7322127169691015</v>
      </c>
      <c r="L42" s="26">
        <f t="shared" si="124"/>
        <v>3.6606010435446255</v>
      </c>
      <c r="M42" s="26">
        <f t="shared" si="124"/>
        <v>4.4112156521090382</v>
      </c>
      <c r="N42" s="26">
        <f t="shared" si="124"/>
        <v>2.3614551844647176</v>
      </c>
      <c r="O42" s="26"/>
      <c r="P42" s="26"/>
      <c r="AC42"/>
      <c r="AD42" s="26"/>
      <c r="AU42" s="26"/>
      <c r="AV42" s="26">
        <f t="shared" ref="AV42:BA42" si="125">STDEV(AV4:AV38)</f>
        <v>1.0000000000000004</v>
      </c>
      <c r="AW42" s="26">
        <f t="shared" si="125"/>
        <v>1</v>
      </c>
      <c r="AX42" s="26">
        <f t="shared" si="125"/>
        <v>3.5163483732919496</v>
      </c>
      <c r="AY42" s="29">
        <f t="shared" si="125"/>
        <v>3.5562703529863153</v>
      </c>
      <c r="AZ42" s="26">
        <f t="shared" si="125"/>
        <v>1.0000000000000002</v>
      </c>
      <c r="BA42" s="26">
        <f t="shared" si="125"/>
        <v>0.99999999999999989</v>
      </c>
      <c r="BB42" s="26"/>
      <c r="BC42" s="26">
        <f t="shared" ref="BC42:BN42" si="126">STDEV(BC4:BC38)</f>
        <v>1.0000000000000004</v>
      </c>
      <c r="BD42" s="26">
        <f t="shared" si="126"/>
        <v>1</v>
      </c>
      <c r="BE42" s="26">
        <f t="shared" si="126"/>
        <v>1.0000000000000004</v>
      </c>
      <c r="BF42" s="26">
        <f t="shared" si="126"/>
        <v>1</v>
      </c>
      <c r="BG42" s="26">
        <f t="shared" si="126"/>
        <v>1</v>
      </c>
      <c r="BH42" s="26">
        <f t="shared" si="126"/>
        <v>1</v>
      </c>
      <c r="BI42" s="26">
        <f t="shared" si="126"/>
        <v>0.99999999999999956</v>
      </c>
      <c r="BJ42" s="26">
        <f t="shared" si="126"/>
        <v>1</v>
      </c>
      <c r="BK42" s="26">
        <f t="shared" si="126"/>
        <v>0.99999999999999967</v>
      </c>
      <c r="BL42" s="26">
        <f t="shared" si="126"/>
        <v>0.99999999999999989</v>
      </c>
      <c r="BM42" s="26">
        <f t="shared" si="126"/>
        <v>1.0000000000000004</v>
      </c>
      <c r="BN42" s="26">
        <f t="shared" si="126"/>
        <v>1.0000000000000002</v>
      </c>
      <c r="BO42" s="26"/>
      <c r="BP42" s="26">
        <f>STDEV(BP4:BP38)</f>
        <v>5.5582477137186705</v>
      </c>
      <c r="BQ42" s="26">
        <f>STDEV(BQ4:BQ38)</f>
        <v>0.99999999999999967</v>
      </c>
      <c r="BR42" s="26">
        <f>STDEV(BR4:BR38)</f>
        <v>6.5538493403854341</v>
      </c>
      <c r="BS42" s="26">
        <f>STDEV(BS4:BS38)</f>
        <v>1</v>
      </c>
      <c r="BT42" s="26"/>
      <c r="BU42" s="26">
        <f>STDEV(BU4:BU38)</f>
        <v>4.2022402988658039</v>
      </c>
      <c r="BV42" s="26">
        <f>STDEV(BV4:BV38)</f>
        <v>1.0000000000000004</v>
      </c>
      <c r="BW42" s="26"/>
      <c r="BX42" s="26">
        <f>STDEV(BX4:BX38)</f>
        <v>10.906554963711987</v>
      </c>
      <c r="BY42" s="26">
        <f>STDEV(BY4:BY38)</f>
        <v>1.0000000000000004</v>
      </c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</row>
    <row r="43" spans="1:100" x14ac:dyDescent="0.25">
      <c r="F43"/>
      <c r="G43"/>
      <c r="H43"/>
      <c r="I43"/>
      <c r="J43"/>
      <c r="K43"/>
      <c r="L43"/>
      <c r="M43"/>
      <c r="N43"/>
      <c r="O43"/>
      <c r="P43"/>
      <c r="AC43"/>
      <c r="AY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</row>
    <row r="44" spans="1:100" x14ac:dyDescent="0.25">
      <c r="O44"/>
      <c r="P44"/>
      <c r="AD44" s="1"/>
      <c r="AW44" s="1"/>
      <c r="AX44" s="1"/>
      <c r="BQ44" s="26"/>
      <c r="BR44" s="26"/>
      <c r="BS44" s="26"/>
      <c r="BT44" s="26"/>
      <c r="BU44" s="22"/>
      <c r="BV44" s="22"/>
      <c r="BW44" s="22"/>
      <c r="BX44" s="26"/>
      <c r="BY44" s="26"/>
      <c r="BZ44"/>
      <c r="CA44"/>
      <c r="CB44"/>
      <c r="CC4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5">
      <c r="F45"/>
      <c r="G45"/>
      <c r="H45"/>
      <c r="I45"/>
      <c r="J45"/>
      <c r="K45"/>
      <c r="L45"/>
      <c r="M45"/>
      <c r="N45"/>
      <c r="O45"/>
      <c r="P45"/>
      <c r="AD45" s="1"/>
      <c r="AW45" s="1"/>
      <c r="AX45" s="1"/>
      <c r="BQ45" s="26"/>
      <c r="BR45" s="26"/>
      <c r="BS45" s="26"/>
      <c r="BT45" s="26"/>
      <c r="BU45" s="22"/>
      <c r="BV45" s="22"/>
      <c r="BW45" s="22"/>
      <c r="BX45" s="26"/>
      <c r="BY45" s="26"/>
      <c r="BZ45"/>
      <c r="CA45"/>
      <c r="CB45"/>
      <c r="CC45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5">
      <c r="F46"/>
      <c r="G46"/>
      <c r="H46"/>
      <c r="I46"/>
      <c r="J46"/>
      <c r="K46"/>
      <c r="L46"/>
      <c r="M46"/>
      <c r="N46"/>
      <c r="O46"/>
      <c r="P46"/>
      <c r="AD46" s="1"/>
      <c r="AW46" s="1"/>
      <c r="AX46" s="1"/>
      <c r="BQ46" s="26"/>
      <c r="BR46" s="26"/>
      <c r="BS46" s="26"/>
      <c r="BT46" s="26"/>
      <c r="BU46" s="22"/>
      <c r="BV46" s="22"/>
      <c r="BW46" s="22"/>
      <c r="BX46" s="26"/>
      <c r="BY46" s="26"/>
      <c r="BZ46"/>
      <c r="CA46"/>
      <c r="CB46"/>
      <c r="CC46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5">
      <c r="B47" s="33" t="s">
        <v>87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/>
      <c r="P47"/>
      <c r="AD47" s="1"/>
      <c r="AW47" s="1"/>
      <c r="AX47" s="1"/>
      <c r="BQ47" s="26"/>
      <c r="BR47" s="26"/>
      <c r="BS47" s="26"/>
      <c r="BT47" s="26"/>
      <c r="BU47" s="22"/>
      <c r="BV47" s="22"/>
      <c r="BW47" s="22"/>
      <c r="BX47" s="26"/>
      <c r="BY47" s="26"/>
      <c r="BZ47"/>
      <c r="CA47"/>
      <c r="CB47"/>
      <c r="CC47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s="1" customFormat="1" ht="14.25" customHeight="1" x14ac:dyDescent="0.25">
      <c r="B48"/>
      <c r="C48" s="12" t="s">
        <v>0</v>
      </c>
      <c r="D48" s="12" t="s">
        <v>1</v>
      </c>
      <c r="E48" s="20" t="s">
        <v>47</v>
      </c>
      <c r="F48" s="8" t="s">
        <v>2</v>
      </c>
      <c r="G48" s="9" t="s">
        <v>44</v>
      </c>
      <c r="H48" s="20" t="s">
        <v>48</v>
      </c>
      <c r="I48" s="8" t="s">
        <v>2</v>
      </c>
      <c r="J48" s="9" t="s">
        <v>45</v>
      </c>
      <c r="K48" s="11" t="s">
        <v>3</v>
      </c>
      <c r="L48" s="11" t="s">
        <v>4</v>
      </c>
      <c r="M48" s="11" t="s">
        <v>5</v>
      </c>
      <c r="N48" s="12" t="s">
        <v>46</v>
      </c>
      <c r="AY48" s="29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</row>
    <row r="49" spans="1:100" s="1" customFormat="1" ht="14.25" customHeight="1" x14ac:dyDescent="0.25">
      <c r="B49"/>
      <c r="C49" s="30">
        <v>1</v>
      </c>
      <c r="D49" s="30">
        <v>2</v>
      </c>
      <c r="E49" s="30">
        <v>3</v>
      </c>
      <c r="F49" s="30">
        <v>4</v>
      </c>
      <c r="G49" s="30">
        <v>5</v>
      </c>
      <c r="H49" s="30">
        <v>6</v>
      </c>
      <c r="I49" s="30">
        <v>7</v>
      </c>
      <c r="J49" s="30">
        <v>8</v>
      </c>
      <c r="K49" s="30">
        <v>9</v>
      </c>
      <c r="L49" s="30">
        <v>10</v>
      </c>
      <c r="M49" s="30">
        <v>11</v>
      </c>
      <c r="N49" s="30">
        <v>12</v>
      </c>
      <c r="AY49" s="29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</row>
    <row r="50" spans="1:100" s="1" customFormat="1" ht="12.75" customHeight="1" x14ac:dyDescent="0.25">
      <c r="A50" s="144">
        <f>(A4)</f>
        <v>1</v>
      </c>
      <c r="B50" s="144" t="str">
        <f>T(B4)</f>
        <v/>
      </c>
      <c r="C50" s="98">
        <v>3</v>
      </c>
      <c r="D50" s="98">
        <v>16</v>
      </c>
      <c r="E50" s="99">
        <v>16</v>
      </c>
      <c r="F50" s="100">
        <v>10</v>
      </c>
      <c r="G50" s="101">
        <v>18</v>
      </c>
      <c r="H50" s="102">
        <v>6</v>
      </c>
      <c r="I50" s="100">
        <v>11</v>
      </c>
      <c r="J50" s="101">
        <v>11</v>
      </c>
      <c r="K50" s="103">
        <v>6</v>
      </c>
      <c r="L50" s="103">
        <v>4</v>
      </c>
      <c r="M50" s="103">
        <v>7</v>
      </c>
      <c r="N50" s="104">
        <v>18</v>
      </c>
      <c r="AY50" s="29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</row>
    <row r="51" spans="1:100" s="1" customFormat="1" ht="12.75" customHeight="1" x14ac:dyDescent="0.25">
      <c r="A51" s="144"/>
      <c r="B51" s="144"/>
      <c r="C51" s="98">
        <v>9</v>
      </c>
      <c r="D51" s="98">
        <v>6</v>
      </c>
      <c r="E51" s="99">
        <v>19</v>
      </c>
      <c r="F51" s="100">
        <v>16</v>
      </c>
      <c r="G51" s="101">
        <v>6</v>
      </c>
      <c r="H51" s="102">
        <v>9</v>
      </c>
      <c r="I51" s="100">
        <v>10</v>
      </c>
      <c r="J51" s="101">
        <v>14</v>
      </c>
      <c r="K51" s="103">
        <v>4</v>
      </c>
      <c r="L51" s="103">
        <v>6</v>
      </c>
      <c r="M51" s="103">
        <v>6</v>
      </c>
      <c r="N51" s="104">
        <v>9</v>
      </c>
      <c r="AY51" s="29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</row>
    <row r="52" spans="1:100" s="1" customFormat="1" ht="12.75" customHeight="1" x14ac:dyDescent="0.25">
      <c r="A52" s="144"/>
      <c r="B52" s="144"/>
      <c r="C52" s="98">
        <v>13</v>
      </c>
      <c r="D52" s="98">
        <v>19</v>
      </c>
      <c r="E52" s="99">
        <v>10</v>
      </c>
      <c r="F52" s="100">
        <v>15</v>
      </c>
      <c r="G52" s="101">
        <v>9</v>
      </c>
      <c r="H52" s="102">
        <v>12</v>
      </c>
      <c r="I52" s="100">
        <v>8</v>
      </c>
      <c r="J52" s="101">
        <v>4</v>
      </c>
      <c r="K52" s="103">
        <v>10</v>
      </c>
      <c r="L52" s="103">
        <v>15</v>
      </c>
      <c r="M52" s="103">
        <v>21</v>
      </c>
      <c r="N52" s="104">
        <v>8</v>
      </c>
      <c r="AY52" s="29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</row>
    <row r="53" spans="1:100" s="1" customFormat="1" ht="12.75" customHeight="1" x14ac:dyDescent="0.25">
      <c r="A53" s="144">
        <f>(A5)</f>
        <v>2</v>
      </c>
      <c r="B53" s="144" t="str">
        <f>T(B5)</f>
        <v/>
      </c>
      <c r="C53" s="98">
        <v>4</v>
      </c>
      <c r="D53" s="98">
        <v>14</v>
      </c>
      <c r="E53" s="99">
        <v>6</v>
      </c>
      <c r="F53" s="100">
        <v>9</v>
      </c>
      <c r="G53" s="101">
        <v>16</v>
      </c>
      <c r="H53" s="102">
        <v>7</v>
      </c>
      <c r="I53" s="100">
        <v>14</v>
      </c>
      <c r="J53" s="101">
        <v>3</v>
      </c>
      <c r="K53" s="103">
        <v>4</v>
      </c>
      <c r="L53" s="103">
        <v>4</v>
      </c>
      <c r="M53" s="103">
        <v>14</v>
      </c>
      <c r="N53" s="104">
        <v>4</v>
      </c>
      <c r="AY53" s="29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</row>
    <row r="54" spans="1:100" s="1" customFormat="1" ht="12.75" customHeight="1" x14ac:dyDescent="0.25">
      <c r="A54" s="144"/>
      <c r="B54" s="144"/>
      <c r="C54" s="98">
        <v>11</v>
      </c>
      <c r="D54" s="98">
        <v>16</v>
      </c>
      <c r="E54" s="99">
        <v>16</v>
      </c>
      <c r="F54" s="100">
        <v>6</v>
      </c>
      <c r="G54" s="101">
        <v>9</v>
      </c>
      <c r="H54" s="102">
        <v>8</v>
      </c>
      <c r="I54" s="100">
        <v>9</v>
      </c>
      <c r="J54" s="101">
        <v>11</v>
      </c>
      <c r="K54" s="103">
        <v>10</v>
      </c>
      <c r="L54" s="103">
        <v>10</v>
      </c>
      <c r="M54" s="103">
        <v>6</v>
      </c>
      <c r="N54" s="104">
        <v>11</v>
      </c>
      <c r="AY54" s="29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</row>
    <row r="55" spans="1:100" s="1" customFormat="1" ht="12.75" customHeight="1" x14ac:dyDescent="0.25">
      <c r="A55" s="144"/>
      <c r="B55" s="144"/>
      <c r="C55" s="98">
        <v>19</v>
      </c>
      <c r="D55" s="98">
        <v>10</v>
      </c>
      <c r="E55" s="99">
        <v>17</v>
      </c>
      <c r="F55" s="100">
        <v>19</v>
      </c>
      <c r="G55" s="101">
        <v>6</v>
      </c>
      <c r="H55" s="102">
        <v>18</v>
      </c>
      <c r="I55" s="100">
        <v>5</v>
      </c>
      <c r="J55" s="101">
        <v>4</v>
      </c>
      <c r="K55" s="103">
        <v>6</v>
      </c>
      <c r="L55" s="103">
        <v>6</v>
      </c>
      <c r="M55" s="103">
        <v>1</v>
      </c>
      <c r="N55" s="104">
        <v>19</v>
      </c>
      <c r="AY55" s="29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</row>
    <row r="56" spans="1:100" s="1" customFormat="1" ht="12.75" customHeight="1" x14ac:dyDescent="0.25">
      <c r="A56" s="144">
        <f>(A6)</f>
        <v>3</v>
      </c>
      <c r="B56" s="144" t="str">
        <f>T(B6)</f>
        <v/>
      </c>
      <c r="C56" s="98">
        <v>13</v>
      </c>
      <c r="D56" s="98">
        <v>15</v>
      </c>
      <c r="E56" s="99">
        <v>16</v>
      </c>
      <c r="F56" s="100">
        <v>16</v>
      </c>
      <c r="G56" s="101">
        <v>18</v>
      </c>
      <c r="H56" s="102">
        <v>21</v>
      </c>
      <c r="I56" s="100">
        <v>8</v>
      </c>
      <c r="J56" s="101">
        <v>13</v>
      </c>
      <c r="K56" s="103">
        <v>4</v>
      </c>
      <c r="L56" s="103">
        <v>15</v>
      </c>
      <c r="M56" s="103">
        <v>14</v>
      </c>
      <c r="N56" s="104">
        <v>13</v>
      </c>
      <c r="AY56" s="29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</row>
    <row r="57" spans="1:100" s="1" customFormat="1" ht="12.75" customHeight="1" x14ac:dyDescent="0.25">
      <c r="A57" s="144"/>
      <c r="B57" s="144"/>
      <c r="C57" s="98">
        <v>1</v>
      </c>
      <c r="D57" s="98">
        <v>7</v>
      </c>
      <c r="E57" s="99">
        <v>10</v>
      </c>
      <c r="F57" s="100">
        <v>9</v>
      </c>
      <c r="G57" s="101">
        <v>9</v>
      </c>
      <c r="H57" s="102">
        <v>15</v>
      </c>
      <c r="I57" s="100">
        <v>3</v>
      </c>
      <c r="J57" s="101">
        <v>5</v>
      </c>
      <c r="K57" s="103">
        <v>6</v>
      </c>
      <c r="L57" s="103">
        <v>6</v>
      </c>
      <c r="M57" s="103">
        <v>7</v>
      </c>
      <c r="N57" s="104">
        <v>1</v>
      </c>
      <c r="S57" s="143"/>
      <c r="AY57" s="29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</row>
    <row r="58" spans="1:100" s="1" customFormat="1" ht="12.75" customHeight="1" x14ac:dyDescent="0.25">
      <c r="A58" s="144"/>
      <c r="B58" s="144"/>
      <c r="C58" s="98">
        <v>5</v>
      </c>
      <c r="D58" s="98">
        <v>16</v>
      </c>
      <c r="E58" s="99">
        <v>6</v>
      </c>
      <c r="F58" s="100">
        <v>15</v>
      </c>
      <c r="G58" s="101">
        <v>16</v>
      </c>
      <c r="H58" s="102">
        <v>7</v>
      </c>
      <c r="I58" s="100">
        <v>9</v>
      </c>
      <c r="J58" s="101">
        <v>8</v>
      </c>
      <c r="K58" s="103">
        <v>10</v>
      </c>
      <c r="L58" s="103">
        <v>4</v>
      </c>
      <c r="M58" s="103">
        <v>6</v>
      </c>
      <c r="N58" s="104">
        <v>18</v>
      </c>
      <c r="AY58" s="29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</row>
    <row r="59" spans="1:100" s="1" customFormat="1" ht="12.75" customHeight="1" x14ac:dyDescent="0.25">
      <c r="A59" s="144">
        <f>(A7)</f>
        <v>4</v>
      </c>
      <c r="B59" s="144" t="str">
        <f>T(B7)</f>
        <v/>
      </c>
      <c r="C59" s="98">
        <v>2</v>
      </c>
      <c r="D59" s="98">
        <v>12</v>
      </c>
      <c r="E59" s="99">
        <v>16</v>
      </c>
      <c r="F59" s="100">
        <v>1</v>
      </c>
      <c r="G59" s="101">
        <v>6</v>
      </c>
      <c r="H59" s="102">
        <v>9</v>
      </c>
      <c r="I59" s="100">
        <v>11</v>
      </c>
      <c r="J59" s="101">
        <v>11</v>
      </c>
      <c r="K59" s="103">
        <v>10</v>
      </c>
      <c r="L59" s="103">
        <v>6</v>
      </c>
      <c r="M59" s="103">
        <v>6</v>
      </c>
      <c r="N59" s="104">
        <v>2</v>
      </c>
      <c r="AY59" s="29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</row>
    <row r="60" spans="1:100" s="1" customFormat="1" ht="12.75" customHeight="1" x14ac:dyDescent="0.25">
      <c r="A60" s="144"/>
      <c r="B60" s="144"/>
      <c r="C60" s="98">
        <v>11</v>
      </c>
      <c r="D60" s="98">
        <v>6</v>
      </c>
      <c r="E60" s="99">
        <v>11</v>
      </c>
      <c r="F60" s="100">
        <v>6</v>
      </c>
      <c r="G60" s="101">
        <v>14</v>
      </c>
      <c r="H60" s="102">
        <v>6</v>
      </c>
      <c r="I60" s="100">
        <v>14</v>
      </c>
      <c r="J60" s="101">
        <v>14</v>
      </c>
      <c r="K60" s="103">
        <v>7</v>
      </c>
      <c r="L60" s="103">
        <v>10</v>
      </c>
      <c r="M60" s="103">
        <v>10</v>
      </c>
      <c r="N60" s="104">
        <v>11</v>
      </c>
      <c r="AY60" s="29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CU60" s="32"/>
      <c r="CV60" s="32"/>
    </row>
    <row r="61" spans="1:100" s="1" customFormat="1" ht="12.75" customHeight="1" x14ac:dyDescent="0.25">
      <c r="A61" s="144"/>
      <c r="B61" s="144"/>
      <c r="C61" s="98">
        <v>19</v>
      </c>
      <c r="D61" s="98">
        <v>14</v>
      </c>
      <c r="E61" s="99">
        <v>21</v>
      </c>
      <c r="F61" s="100">
        <v>16</v>
      </c>
      <c r="G61" s="101">
        <v>7</v>
      </c>
      <c r="H61" s="102">
        <v>12</v>
      </c>
      <c r="I61" s="100">
        <v>9</v>
      </c>
      <c r="J61" s="101">
        <v>9</v>
      </c>
      <c r="K61" s="103">
        <v>16</v>
      </c>
      <c r="L61" s="103">
        <v>14</v>
      </c>
      <c r="M61" s="103">
        <v>1</v>
      </c>
      <c r="N61" s="104">
        <v>19</v>
      </c>
      <c r="AY61" s="29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</row>
    <row r="62" spans="1:100" s="1" customFormat="1" ht="12.75" customHeight="1" x14ac:dyDescent="0.25">
      <c r="A62" s="144">
        <f>(A8)</f>
        <v>5</v>
      </c>
      <c r="B62" s="144" t="str">
        <f>T(B8)</f>
        <v/>
      </c>
      <c r="C62" s="98">
        <v>8</v>
      </c>
      <c r="D62" s="98">
        <v>2</v>
      </c>
      <c r="E62" s="99">
        <v>6</v>
      </c>
      <c r="F62" s="100">
        <v>7</v>
      </c>
      <c r="G62" s="101">
        <v>9</v>
      </c>
      <c r="H62" s="102">
        <v>9</v>
      </c>
      <c r="I62" s="100">
        <v>3</v>
      </c>
      <c r="J62" s="101">
        <v>12</v>
      </c>
      <c r="K62" s="103">
        <v>4</v>
      </c>
      <c r="L62" s="103">
        <v>4</v>
      </c>
      <c r="M62" s="103">
        <v>6</v>
      </c>
      <c r="N62" s="104">
        <v>8</v>
      </c>
      <c r="AY62" s="29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</row>
    <row r="63" spans="1:100" s="1" customFormat="1" ht="12.75" customHeight="1" x14ac:dyDescent="0.25">
      <c r="A63" s="144"/>
      <c r="B63" s="144"/>
      <c r="C63" s="98">
        <v>9</v>
      </c>
      <c r="D63" s="98">
        <v>6</v>
      </c>
      <c r="E63" s="99">
        <v>17</v>
      </c>
      <c r="F63" s="100">
        <v>10</v>
      </c>
      <c r="G63" s="101">
        <v>6</v>
      </c>
      <c r="H63" s="102">
        <v>2</v>
      </c>
      <c r="I63" s="100">
        <v>12</v>
      </c>
      <c r="J63" s="101">
        <v>18</v>
      </c>
      <c r="K63" s="103">
        <v>6</v>
      </c>
      <c r="L63" s="103">
        <v>6</v>
      </c>
      <c r="M63" s="103">
        <v>1</v>
      </c>
      <c r="N63" s="104">
        <v>12</v>
      </c>
      <c r="AY63" s="29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</row>
    <row r="64" spans="1:100" s="1" customFormat="1" ht="12.75" customHeight="1" x14ac:dyDescent="0.25">
      <c r="A64" s="144"/>
      <c r="B64" s="144"/>
      <c r="C64" s="98">
        <v>20</v>
      </c>
      <c r="D64" s="98">
        <v>7</v>
      </c>
      <c r="E64" s="99">
        <v>16</v>
      </c>
      <c r="F64" s="100">
        <v>16</v>
      </c>
      <c r="G64" s="101">
        <v>18</v>
      </c>
      <c r="H64" s="102">
        <v>6</v>
      </c>
      <c r="I64" s="100">
        <v>9</v>
      </c>
      <c r="J64" s="101">
        <v>20</v>
      </c>
      <c r="K64" s="103">
        <v>7</v>
      </c>
      <c r="L64" s="103">
        <v>15</v>
      </c>
      <c r="M64" s="103">
        <v>7</v>
      </c>
      <c r="N64" s="104">
        <v>20</v>
      </c>
      <c r="AY64" s="29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</row>
    <row r="65" spans="1:100" s="1" customFormat="1" ht="12.75" customHeight="1" x14ac:dyDescent="0.25">
      <c r="A65" s="144">
        <f>(A9)</f>
        <v>6</v>
      </c>
      <c r="B65" s="144" t="str">
        <f>T(B9)</f>
        <v/>
      </c>
      <c r="C65" s="98">
        <v>10</v>
      </c>
      <c r="D65" s="98">
        <v>1</v>
      </c>
      <c r="E65" s="99">
        <v>16</v>
      </c>
      <c r="F65" s="100">
        <v>17</v>
      </c>
      <c r="G65" s="101">
        <v>2</v>
      </c>
      <c r="H65" s="102">
        <v>9</v>
      </c>
      <c r="I65" s="100">
        <v>10</v>
      </c>
      <c r="J65" s="101">
        <v>10</v>
      </c>
      <c r="K65" s="103">
        <v>7</v>
      </c>
      <c r="L65" s="103">
        <v>7</v>
      </c>
      <c r="M65" s="103">
        <v>7</v>
      </c>
      <c r="N65" s="104">
        <v>10</v>
      </c>
      <c r="AY65" s="29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</row>
    <row r="66" spans="1:100" s="1" customFormat="1" ht="12.75" customHeight="1" x14ac:dyDescent="0.25">
      <c r="A66" s="144"/>
      <c r="B66" s="144"/>
      <c r="C66" s="98">
        <v>2</v>
      </c>
      <c r="D66" s="98">
        <v>16</v>
      </c>
      <c r="E66" s="99">
        <v>17</v>
      </c>
      <c r="F66" s="100">
        <v>16</v>
      </c>
      <c r="G66" s="101">
        <v>16</v>
      </c>
      <c r="H66" s="102">
        <v>16</v>
      </c>
      <c r="I66" s="100">
        <v>5</v>
      </c>
      <c r="J66" s="101">
        <v>17</v>
      </c>
      <c r="K66" s="103">
        <v>21</v>
      </c>
      <c r="L66" s="103">
        <v>17</v>
      </c>
      <c r="M66" s="103">
        <v>17</v>
      </c>
      <c r="N66" s="104">
        <v>17</v>
      </c>
      <c r="AY66" s="29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</row>
    <row r="67" spans="1:100" s="1" customFormat="1" ht="12.75" customHeight="1" x14ac:dyDescent="0.25">
      <c r="A67" s="144"/>
      <c r="B67" s="144"/>
      <c r="C67" s="98">
        <v>8</v>
      </c>
      <c r="D67" s="98">
        <v>21</v>
      </c>
      <c r="E67" s="99">
        <v>11</v>
      </c>
      <c r="F67" s="100">
        <v>11</v>
      </c>
      <c r="G67" s="101">
        <v>1</v>
      </c>
      <c r="H67" s="102">
        <v>17</v>
      </c>
      <c r="I67" s="100">
        <v>8</v>
      </c>
      <c r="J67" s="101">
        <v>19</v>
      </c>
      <c r="K67" s="103">
        <v>11</v>
      </c>
      <c r="L67" s="103">
        <v>11</v>
      </c>
      <c r="M67" s="103">
        <v>21</v>
      </c>
      <c r="N67" s="104">
        <v>19</v>
      </c>
      <c r="AY67" s="29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CU67" s="32"/>
      <c r="CV67" s="32"/>
    </row>
    <row r="68" spans="1:100" s="1" customFormat="1" ht="12.75" customHeight="1" x14ac:dyDescent="0.25">
      <c r="A68" s="144">
        <f>(A10)</f>
        <v>7</v>
      </c>
      <c r="B68" s="144" t="str">
        <f>T(B10)</f>
        <v/>
      </c>
      <c r="C68" s="98">
        <v>2</v>
      </c>
      <c r="D68" s="98">
        <v>5</v>
      </c>
      <c r="E68" s="99">
        <v>16</v>
      </c>
      <c r="F68" s="100">
        <v>1</v>
      </c>
      <c r="G68" s="101">
        <v>10</v>
      </c>
      <c r="H68" s="102">
        <v>9</v>
      </c>
      <c r="I68" s="100">
        <v>11</v>
      </c>
      <c r="J68" s="101">
        <v>11</v>
      </c>
      <c r="K68" s="103">
        <v>11</v>
      </c>
      <c r="L68" s="103">
        <v>6</v>
      </c>
      <c r="M68" s="103">
        <v>6</v>
      </c>
      <c r="N68" s="104">
        <v>11</v>
      </c>
      <c r="AY68" s="29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CU68" s="32"/>
      <c r="CV68" s="32"/>
    </row>
    <row r="69" spans="1:100" s="1" customFormat="1" ht="12.75" customHeight="1" x14ac:dyDescent="0.25">
      <c r="A69" s="144"/>
      <c r="B69" s="144"/>
      <c r="C69" s="98">
        <v>4</v>
      </c>
      <c r="D69" s="98">
        <v>9</v>
      </c>
      <c r="E69" s="99">
        <v>15</v>
      </c>
      <c r="F69" s="100">
        <v>6</v>
      </c>
      <c r="G69" s="101">
        <v>1</v>
      </c>
      <c r="H69" s="102">
        <v>16</v>
      </c>
      <c r="I69" s="100">
        <v>8</v>
      </c>
      <c r="J69" s="101">
        <v>18</v>
      </c>
      <c r="K69" s="103">
        <v>21</v>
      </c>
      <c r="L69" s="103">
        <v>10</v>
      </c>
      <c r="M69" s="103">
        <v>1</v>
      </c>
      <c r="N69" s="104">
        <v>4</v>
      </c>
      <c r="AY69" s="29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</row>
    <row r="70" spans="1:100" s="1" customFormat="1" ht="12.75" customHeight="1" x14ac:dyDescent="0.25">
      <c r="A70" s="144"/>
      <c r="B70" s="144"/>
      <c r="C70" s="98">
        <v>10</v>
      </c>
      <c r="D70" s="98">
        <v>12</v>
      </c>
      <c r="E70" s="99">
        <v>11</v>
      </c>
      <c r="F70" s="100">
        <v>15</v>
      </c>
      <c r="G70" s="101">
        <v>6</v>
      </c>
      <c r="H70" s="102">
        <v>17</v>
      </c>
      <c r="I70" s="100">
        <v>18</v>
      </c>
      <c r="J70" s="101">
        <v>21</v>
      </c>
      <c r="K70" s="103">
        <v>19</v>
      </c>
      <c r="L70" s="103">
        <v>9</v>
      </c>
      <c r="M70" s="103">
        <v>13</v>
      </c>
      <c r="N70" s="104">
        <v>18</v>
      </c>
      <c r="AY70" s="29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CU70" s="32"/>
      <c r="CV70" s="32"/>
    </row>
    <row r="71" spans="1:100" s="1" customFormat="1" ht="12.75" customHeight="1" x14ac:dyDescent="0.25">
      <c r="A71" s="144">
        <f>(A11)</f>
        <v>8</v>
      </c>
      <c r="B71" s="144" t="str">
        <f>T(B11)</f>
        <v/>
      </c>
      <c r="C71" s="98">
        <v>5</v>
      </c>
      <c r="D71" s="98">
        <v>4</v>
      </c>
      <c r="E71" s="99">
        <v>6</v>
      </c>
      <c r="F71" s="100">
        <v>6</v>
      </c>
      <c r="G71" s="101">
        <v>16</v>
      </c>
      <c r="H71" s="102">
        <v>9</v>
      </c>
      <c r="I71" s="100">
        <v>14</v>
      </c>
      <c r="J71" s="101">
        <v>10</v>
      </c>
      <c r="K71" s="103">
        <v>6</v>
      </c>
      <c r="L71" s="103">
        <v>14</v>
      </c>
      <c r="M71" s="103">
        <v>6</v>
      </c>
      <c r="N71" s="104">
        <v>9</v>
      </c>
      <c r="AY71" s="29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  <c r="CS71" s="32"/>
      <c r="CT71" s="32"/>
      <c r="CU71" s="32"/>
      <c r="CV71" s="32"/>
    </row>
    <row r="72" spans="1:100" s="1" customFormat="1" ht="12.75" customHeight="1" x14ac:dyDescent="0.25">
      <c r="A72" s="144"/>
      <c r="B72" s="144"/>
      <c r="C72" s="98">
        <v>9</v>
      </c>
      <c r="D72" s="98">
        <v>2</v>
      </c>
      <c r="E72" s="99">
        <v>21</v>
      </c>
      <c r="F72" s="100">
        <v>4</v>
      </c>
      <c r="G72" s="101">
        <v>6</v>
      </c>
      <c r="H72" s="102">
        <v>3</v>
      </c>
      <c r="I72" s="100">
        <v>16</v>
      </c>
      <c r="J72" s="101">
        <v>11</v>
      </c>
      <c r="K72" s="103">
        <v>4</v>
      </c>
      <c r="L72" s="103">
        <v>10</v>
      </c>
      <c r="M72" s="103">
        <v>14</v>
      </c>
      <c r="N72" s="104">
        <v>20</v>
      </c>
      <c r="AY72" s="29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</row>
    <row r="73" spans="1:100" s="1" customFormat="1" ht="12.75" customHeight="1" x14ac:dyDescent="0.25">
      <c r="A73" s="144"/>
      <c r="B73" s="144"/>
      <c r="C73" s="98">
        <v>12</v>
      </c>
      <c r="D73" s="98">
        <v>21</v>
      </c>
      <c r="E73" s="99">
        <v>7</v>
      </c>
      <c r="F73" s="100">
        <v>2</v>
      </c>
      <c r="G73" s="101">
        <v>19</v>
      </c>
      <c r="H73" s="102">
        <v>13</v>
      </c>
      <c r="I73" s="100">
        <v>18</v>
      </c>
      <c r="J73" s="101">
        <v>14</v>
      </c>
      <c r="K73" s="103">
        <v>7</v>
      </c>
      <c r="L73" s="103">
        <v>4</v>
      </c>
      <c r="M73" s="103">
        <v>1</v>
      </c>
      <c r="N73" s="104">
        <v>12</v>
      </c>
      <c r="AY73" s="29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</row>
    <row r="74" spans="1:100" s="1" customFormat="1" ht="12.75" customHeight="1" x14ac:dyDescent="0.25">
      <c r="A74" s="144">
        <f>(A12)</f>
        <v>9</v>
      </c>
      <c r="B74" s="144" t="str">
        <f>T(B12)</f>
        <v/>
      </c>
      <c r="C74" s="98">
        <v>8</v>
      </c>
      <c r="D74" s="98">
        <v>16</v>
      </c>
      <c r="E74" s="99">
        <v>6</v>
      </c>
      <c r="F74" s="100">
        <v>1</v>
      </c>
      <c r="G74" s="101">
        <v>1</v>
      </c>
      <c r="H74" s="102">
        <v>9</v>
      </c>
      <c r="I74" s="100">
        <v>11</v>
      </c>
      <c r="J74" s="101">
        <v>8</v>
      </c>
      <c r="K74" s="103">
        <v>8</v>
      </c>
      <c r="L74" s="103">
        <v>15</v>
      </c>
      <c r="M74" s="103">
        <v>14</v>
      </c>
      <c r="N74" s="104">
        <v>8</v>
      </c>
      <c r="AD74" s="26"/>
      <c r="AI74" s="26"/>
      <c r="AJ74" s="26"/>
      <c r="AK74" s="26"/>
      <c r="AL74" s="26"/>
      <c r="AW74" s="26"/>
      <c r="AX74" s="26"/>
      <c r="AY74" s="29"/>
      <c r="AZ74" s="26"/>
      <c r="BA74" s="26"/>
      <c r="BB74" s="26"/>
      <c r="BC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CB74" s="26"/>
      <c r="CD74" s="32"/>
      <c r="CE74" s="32"/>
    </row>
    <row r="75" spans="1:100" s="1" customFormat="1" ht="12.75" customHeight="1" x14ac:dyDescent="0.25">
      <c r="A75" s="144"/>
      <c r="B75" s="144"/>
      <c r="C75" s="98">
        <v>5</v>
      </c>
      <c r="D75" s="98">
        <v>15</v>
      </c>
      <c r="E75" s="99">
        <v>16</v>
      </c>
      <c r="F75" s="100">
        <v>16</v>
      </c>
      <c r="G75" s="101">
        <v>16</v>
      </c>
      <c r="H75" s="102">
        <v>5</v>
      </c>
      <c r="I75" s="100">
        <v>5</v>
      </c>
      <c r="J75" s="101">
        <v>18</v>
      </c>
      <c r="K75" s="103">
        <v>14</v>
      </c>
      <c r="L75" s="103">
        <v>7</v>
      </c>
      <c r="M75" s="103">
        <v>6</v>
      </c>
      <c r="N75" s="104">
        <v>12</v>
      </c>
      <c r="AD75" s="26"/>
      <c r="AI75" s="26"/>
      <c r="AJ75" s="26"/>
      <c r="AK75" s="26"/>
      <c r="AL75" s="26"/>
      <c r="AW75" s="26"/>
      <c r="AX75" s="26"/>
      <c r="AY75" s="29"/>
      <c r="BD75" s="26"/>
      <c r="BE75" s="26"/>
      <c r="BP75" s="26"/>
      <c r="BQ75" s="77"/>
      <c r="BR75" s="77"/>
      <c r="BS75" s="77"/>
      <c r="BT75" s="77"/>
      <c r="BU75" s="77"/>
      <c r="BV75" s="77"/>
      <c r="BW75" s="77"/>
      <c r="BX75" s="77"/>
      <c r="BY75" s="77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</row>
    <row r="76" spans="1:100" s="1" customFormat="1" ht="12.75" customHeight="1" x14ac:dyDescent="0.25">
      <c r="A76" s="144"/>
      <c r="B76" s="144"/>
      <c r="C76" s="98">
        <v>13</v>
      </c>
      <c r="D76" s="98">
        <v>6</v>
      </c>
      <c r="E76" s="99">
        <v>21</v>
      </c>
      <c r="F76" s="100">
        <v>15</v>
      </c>
      <c r="G76" s="101">
        <v>6</v>
      </c>
      <c r="H76" s="102">
        <v>16</v>
      </c>
      <c r="I76" s="100">
        <v>18</v>
      </c>
      <c r="J76" s="101">
        <v>14</v>
      </c>
      <c r="K76" s="103">
        <v>1</v>
      </c>
      <c r="L76" s="103">
        <v>1</v>
      </c>
      <c r="M76" s="103">
        <v>1</v>
      </c>
      <c r="N76" s="104">
        <v>5</v>
      </c>
      <c r="O76" s="26"/>
      <c r="P76" s="26"/>
      <c r="AD76" s="26"/>
      <c r="AE76" s="26"/>
      <c r="AF76" s="26"/>
      <c r="AG76" s="26"/>
      <c r="AH76" s="26"/>
      <c r="AI76" s="26"/>
      <c r="AJ76" s="26"/>
      <c r="AK76" s="26"/>
      <c r="AL76" s="26"/>
      <c r="AN76" s="26"/>
      <c r="AO76" s="26"/>
      <c r="AP76" s="26"/>
      <c r="AQ76" s="26"/>
      <c r="AR76" s="26"/>
      <c r="AS76" s="26"/>
      <c r="AT76" s="26"/>
      <c r="AU76" s="26"/>
      <c r="AV76" s="26"/>
      <c r="AX76" s="26"/>
      <c r="AY76" s="29"/>
      <c r="AZ76" s="26"/>
      <c r="BA76" s="26"/>
      <c r="BB76" s="26"/>
      <c r="BC76" s="26"/>
      <c r="BD76" s="26"/>
      <c r="BE76" s="26"/>
      <c r="BP76" s="26"/>
      <c r="BQ76" s="77"/>
      <c r="BR76" s="77"/>
      <c r="BS76" s="77"/>
      <c r="BT76" s="77"/>
      <c r="BU76" s="77"/>
      <c r="BV76" s="77"/>
      <c r="BW76" s="77"/>
      <c r="BX76" s="77"/>
      <c r="BY76" s="77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</row>
    <row r="77" spans="1:100" s="1" customFormat="1" ht="12.75" customHeight="1" x14ac:dyDescent="0.25">
      <c r="A77" s="144">
        <f>(A13)</f>
        <v>10</v>
      </c>
      <c r="B77" s="144" t="str">
        <f>T(B13)</f>
        <v/>
      </c>
      <c r="C77" s="98">
        <v>11</v>
      </c>
      <c r="D77" s="98">
        <v>19</v>
      </c>
      <c r="E77" s="99">
        <v>16</v>
      </c>
      <c r="F77" s="100">
        <v>19</v>
      </c>
      <c r="G77" s="101">
        <v>1</v>
      </c>
      <c r="H77" s="102">
        <v>1</v>
      </c>
      <c r="I77" s="100">
        <v>5</v>
      </c>
      <c r="J77" s="101">
        <v>6</v>
      </c>
      <c r="K77" s="103">
        <v>6</v>
      </c>
      <c r="L77" s="103">
        <v>19</v>
      </c>
      <c r="M77" s="103">
        <v>6</v>
      </c>
      <c r="N77" s="104">
        <v>11</v>
      </c>
      <c r="AN77" s="26"/>
      <c r="AO77" s="26"/>
      <c r="AP77" s="26"/>
      <c r="AQ77" s="26"/>
      <c r="AR77" s="26"/>
      <c r="AS77" s="26"/>
      <c r="AT77" s="26"/>
      <c r="AU77" s="26"/>
      <c r="AV77" s="26"/>
      <c r="AX77" s="26"/>
      <c r="AY77" s="29"/>
      <c r="AZ77" s="26"/>
      <c r="BA77" s="26"/>
      <c r="BB77" s="26"/>
      <c r="BC77" s="26"/>
      <c r="BD77" s="26"/>
      <c r="BE77" s="26"/>
      <c r="BP77" s="26"/>
      <c r="BQ77" s="26"/>
      <c r="BR77" s="26"/>
      <c r="BS77" s="26"/>
      <c r="BT77" s="26"/>
      <c r="BU77" s="26"/>
      <c r="BV77" s="77"/>
      <c r="BW77" s="77"/>
      <c r="BX77" s="26"/>
      <c r="BY77" s="26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</row>
    <row r="78" spans="1:100" s="1" customFormat="1" ht="12.75" customHeight="1" x14ac:dyDescent="0.25">
      <c r="A78" s="144"/>
      <c r="B78" s="144"/>
      <c r="C78" s="98">
        <v>12</v>
      </c>
      <c r="D78" s="98">
        <v>16</v>
      </c>
      <c r="E78" s="99">
        <v>19</v>
      </c>
      <c r="F78" s="100">
        <v>16</v>
      </c>
      <c r="G78" s="101">
        <v>19</v>
      </c>
      <c r="H78" s="102">
        <v>3</v>
      </c>
      <c r="I78" s="100">
        <v>20</v>
      </c>
      <c r="J78" s="101">
        <v>11</v>
      </c>
      <c r="K78" s="103">
        <v>17</v>
      </c>
      <c r="L78" s="103">
        <v>7</v>
      </c>
      <c r="M78" s="103">
        <v>7</v>
      </c>
      <c r="N78" s="104">
        <v>21</v>
      </c>
      <c r="AN78" s="26"/>
      <c r="AO78" s="26"/>
      <c r="AP78" s="26"/>
      <c r="AQ78" s="26"/>
      <c r="AR78" s="26"/>
      <c r="AS78" s="26"/>
      <c r="AT78" s="26"/>
      <c r="AU78" s="26"/>
      <c r="AV78" s="26"/>
      <c r="AX78" s="26"/>
      <c r="AY78" s="29"/>
      <c r="AZ78" s="26"/>
      <c r="BA78" s="26"/>
      <c r="BB78" s="26"/>
      <c r="BC78" s="26"/>
      <c r="BD78" s="26"/>
      <c r="BE78" s="26"/>
      <c r="BP78" s="26"/>
      <c r="BQ78" s="26"/>
      <c r="BR78" s="26"/>
      <c r="BS78" s="26"/>
      <c r="BT78" s="26"/>
      <c r="BU78" s="26"/>
      <c r="BV78" s="77"/>
      <c r="BW78" s="77"/>
      <c r="BX78" s="26"/>
      <c r="BY78" s="26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</row>
    <row r="79" spans="1:100" s="1" customFormat="1" ht="12.75" customHeight="1" x14ac:dyDescent="0.25">
      <c r="A79" s="144"/>
      <c r="B79" s="144"/>
      <c r="C79" s="98">
        <v>14</v>
      </c>
      <c r="D79" s="98">
        <v>1</v>
      </c>
      <c r="E79" s="99">
        <v>16</v>
      </c>
      <c r="F79" s="100">
        <v>9</v>
      </c>
      <c r="G79" s="101">
        <v>6</v>
      </c>
      <c r="H79" s="102">
        <v>8</v>
      </c>
      <c r="I79" s="100">
        <v>2</v>
      </c>
      <c r="J79" s="101">
        <v>14</v>
      </c>
      <c r="K79" s="103">
        <v>19</v>
      </c>
      <c r="L79" s="103">
        <v>1</v>
      </c>
      <c r="M79" s="103">
        <v>4</v>
      </c>
      <c r="N79" s="104">
        <v>17</v>
      </c>
      <c r="AY79" s="29"/>
      <c r="BD79" s="26"/>
      <c r="BP79" s="26"/>
      <c r="BQ79" s="26"/>
      <c r="BR79" s="26"/>
      <c r="BS79" s="26"/>
      <c r="BT79" s="26"/>
      <c r="BU79" s="26"/>
      <c r="BV79" s="77"/>
      <c r="BW79" s="77"/>
      <c r="BX79" s="26"/>
      <c r="BY79" s="26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</row>
    <row r="80" spans="1:100" s="1" customFormat="1" ht="12.75" customHeight="1" x14ac:dyDescent="0.25">
      <c r="A80" s="144">
        <f>(A14)</f>
        <v>11</v>
      </c>
      <c r="B80" s="144" t="str">
        <f>T(B14)</f>
        <v/>
      </c>
      <c r="C80" s="98">
        <v>16</v>
      </c>
      <c r="D80" s="98">
        <v>14</v>
      </c>
      <c r="E80" s="99">
        <v>6</v>
      </c>
      <c r="F80" s="100">
        <v>1</v>
      </c>
      <c r="G80" s="101">
        <v>9</v>
      </c>
      <c r="H80" s="102">
        <v>21</v>
      </c>
      <c r="I80" s="100">
        <v>2</v>
      </c>
      <c r="J80" s="101">
        <v>2</v>
      </c>
      <c r="K80" s="103">
        <v>6</v>
      </c>
      <c r="L80" s="103">
        <v>6</v>
      </c>
      <c r="M80" s="103">
        <v>6</v>
      </c>
      <c r="N80" s="104">
        <v>16</v>
      </c>
      <c r="AY80" s="29"/>
      <c r="BP80" s="26"/>
      <c r="BQ80" s="26"/>
      <c r="BR80" s="26"/>
      <c r="BS80" s="26"/>
      <c r="BT80" s="26"/>
      <c r="BU80" s="26"/>
      <c r="BV80" s="77"/>
      <c r="BW80" s="77"/>
      <c r="BX80" s="26"/>
      <c r="BY80" s="26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</row>
    <row r="81" spans="1:88" s="1" customFormat="1" ht="12.75" customHeight="1" x14ac:dyDescent="0.25">
      <c r="A81" s="144"/>
      <c r="B81" s="144"/>
      <c r="C81" s="98">
        <v>17</v>
      </c>
      <c r="D81" s="98">
        <v>6</v>
      </c>
      <c r="E81" s="99">
        <v>15</v>
      </c>
      <c r="F81" s="100">
        <v>2</v>
      </c>
      <c r="G81" s="101">
        <v>6</v>
      </c>
      <c r="H81" s="102">
        <v>3</v>
      </c>
      <c r="I81" s="100">
        <v>5</v>
      </c>
      <c r="J81" s="101">
        <v>4</v>
      </c>
      <c r="K81" s="103">
        <v>4</v>
      </c>
      <c r="L81" s="103">
        <v>10</v>
      </c>
      <c r="M81" s="103">
        <v>7</v>
      </c>
      <c r="N81" s="104">
        <v>17</v>
      </c>
      <c r="AY81" s="29"/>
      <c r="BP81" s="26"/>
      <c r="BQ81" s="26"/>
      <c r="BR81" s="26"/>
      <c r="BS81" s="26"/>
      <c r="BT81" s="26"/>
      <c r="BU81" s="26"/>
      <c r="BV81" s="77"/>
      <c r="BW81" s="77"/>
      <c r="BX81" s="26"/>
      <c r="BY81" s="26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</row>
    <row r="82" spans="1:88" s="1" customFormat="1" ht="12.75" customHeight="1" x14ac:dyDescent="0.25">
      <c r="A82" s="144"/>
      <c r="B82" s="144"/>
      <c r="C82" s="98">
        <v>21</v>
      </c>
      <c r="D82" s="98">
        <v>15</v>
      </c>
      <c r="E82" s="99">
        <v>7</v>
      </c>
      <c r="F82" s="100">
        <v>15</v>
      </c>
      <c r="G82" s="101">
        <v>16</v>
      </c>
      <c r="H82" s="102">
        <v>1</v>
      </c>
      <c r="I82" s="100">
        <v>20</v>
      </c>
      <c r="J82" s="101">
        <v>19</v>
      </c>
      <c r="K82" s="103">
        <v>19</v>
      </c>
      <c r="L82" s="103">
        <v>7</v>
      </c>
      <c r="M82" s="103">
        <v>1</v>
      </c>
      <c r="N82" s="104">
        <v>19</v>
      </c>
      <c r="AY82" s="29"/>
      <c r="BP82" s="26"/>
      <c r="BQ82" s="26"/>
      <c r="BR82" s="26"/>
      <c r="BS82" s="26"/>
      <c r="BT82" s="26"/>
      <c r="BU82" s="26"/>
      <c r="BV82" s="77"/>
      <c r="BW82" s="77"/>
      <c r="BX82" s="26"/>
      <c r="BY82" s="26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</row>
    <row r="83" spans="1:88" s="1" customFormat="1" ht="12.75" customHeight="1" x14ac:dyDescent="0.25">
      <c r="A83" s="144">
        <f>(A15)</f>
        <v>12</v>
      </c>
      <c r="B83" s="144" t="str">
        <f>T(B15)</f>
        <v/>
      </c>
      <c r="C83" s="98">
        <v>5</v>
      </c>
      <c r="D83" s="98">
        <v>4</v>
      </c>
      <c r="E83" s="99">
        <v>16</v>
      </c>
      <c r="F83" s="100">
        <v>7</v>
      </c>
      <c r="G83" s="101">
        <v>6</v>
      </c>
      <c r="H83" s="102">
        <v>16</v>
      </c>
      <c r="I83" s="100">
        <v>20</v>
      </c>
      <c r="J83" s="101">
        <v>13</v>
      </c>
      <c r="K83" s="103">
        <v>6</v>
      </c>
      <c r="L83" s="103">
        <v>6</v>
      </c>
      <c r="M83" s="103">
        <v>6</v>
      </c>
      <c r="N83" s="104">
        <v>5</v>
      </c>
      <c r="AY83" s="29"/>
      <c r="BP83" s="26"/>
      <c r="BQ83" s="26"/>
      <c r="BR83" s="26"/>
      <c r="BS83" s="26"/>
      <c r="BT83" s="26"/>
      <c r="BU83" s="26"/>
      <c r="BV83" s="77"/>
      <c r="BW83" s="77"/>
      <c r="BX83" s="26"/>
      <c r="BY83" s="26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</row>
    <row r="84" spans="1:88" s="1" customFormat="1" ht="12.75" customHeight="1" x14ac:dyDescent="0.25">
      <c r="A84" s="144"/>
      <c r="B84" s="144"/>
      <c r="C84" s="98">
        <v>9</v>
      </c>
      <c r="D84" s="98">
        <v>7</v>
      </c>
      <c r="E84" s="99">
        <v>6</v>
      </c>
      <c r="F84" s="100">
        <v>15</v>
      </c>
      <c r="G84" s="101">
        <v>7</v>
      </c>
      <c r="H84" s="102">
        <v>4</v>
      </c>
      <c r="I84" s="100">
        <v>5</v>
      </c>
      <c r="J84" s="101">
        <v>5</v>
      </c>
      <c r="K84" s="103">
        <v>4</v>
      </c>
      <c r="L84" s="103">
        <v>4</v>
      </c>
      <c r="M84" s="103">
        <v>1</v>
      </c>
      <c r="N84" s="104">
        <v>9</v>
      </c>
      <c r="AY84" s="29"/>
      <c r="BP84" s="26"/>
      <c r="BQ84" s="26"/>
      <c r="BR84" s="26"/>
      <c r="BS84" s="26"/>
      <c r="BT84" s="26"/>
      <c r="BU84" s="26"/>
      <c r="BV84" s="77"/>
      <c r="BW84" s="77"/>
      <c r="BX84" s="26"/>
      <c r="BY84" s="26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</row>
    <row r="85" spans="1:88" s="1" customFormat="1" ht="12.75" customHeight="1" x14ac:dyDescent="0.25">
      <c r="A85" s="144"/>
      <c r="B85" s="144"/>
      <c r="C85" s="98">
        <v>8</v>
      </c>
      <c r="D85" s="98">
        <v>16</v>
      </c>
      <c r="E85" s="99">
        <v>4</v>
      </c>
      <c r="F85" s="100">
        <v>16</v>
      </c>
      <c r="G85" s="101">
        <v>16</v>
      </c>
      <c r="H85" s="102">
        <v>7</v>
      </c>
      <c r="I85" s="100">
        <v>11</v>
      </c>
      <c r="J85" s="101">
        <v>8</v>
      </c>
      <c r="K85" s="103">
        <v>7</v>
      </c>
      <c r="L85" s="103">
        <v>7</v>
      </c>
      <c r="M85" s="103">
        <v>7</v>
      </c>
      <c r="N85" s="104">
        <v>8</v>
      </c>
      <c r="AY85" s="29"/>
      <c r="BP85" s="26"/>
      <c r="BQ85" s="26"/>
      <c r="BR85" s="26"/>
      <c r="BS85" s="26"/>
      <c r="BT85" s="26"/>
      <c r="BU85" s="26"/>
      <c r="BV85" s="77"/>
      <c r="BW85" s="77"/>
      <c r="BX85" s="26"/>
      <c r="BY85" s="26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</row>
    <row r="86" spans="1:88" s="1" customFormat="1" ht="12.75" customHeight="1" x14ac:dyDescent="0.25">
      <c r="A86" s="144">
        <f>(A16)</f>
        <v>13</v>
      </c>
      <c r="B86" s="144" t="str">
        <f>T(B16)</f>
        <v/>
      </c>
      <c r="C86" s="98">
        <v>3</v>
      </c>
      <c r="D86" s="98">
        <v>16</v>
      </c>
      <c r="E86" s="99">
        <v>6</v>
      </c>
      <c r="F86" s="100">
        <v>3</v>
      </c>
      <c r="G86" s="101">
        <v>9</v>
      </c>
      <c r="H86" s="102">
        <v>9</v>
      </c>
      <c r="I86" s="100">
        <v>18</v>
      </c>
      <c r="J86" s="101">
        <v>3</v>
      </c>
      <c r="K86" s="103">
        <v>6</v>
      </c>
      <c r="L86" s="103">
        <v>3</v>
      </c>
      <c r="M86" s="103">
        <v>1</v>
      </c>
      <c r="N86" s="104">
        <v>3</v>
      </c>
      <c r="AI86" s="13"/>
      <c r="AJ86" s="13"/>
      <c r="AK86" s="13"/>
      <c r="AL86" s="13"/>
      <c r="AY86" s="29"/>
      <c r="BP86" s="26"/>
      <c r="BQ86" s="77"/>
      <c r="BR86" s="77"/>
      <c r="BS86" s="77"/>
      <c r="BT86" s="77"/>
      <c r="BU86" s="77"/>
      <c r="BV86" s="77"/>
      <c r="BW86" s="77"/>
      <c r="BX86" s="77"/>
      <c r="BY86" s="77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</row>
    <row r="87" spans="1:88" s="1" customFormat="1" ht="12.75" customHeight="1" x14ac:dyDescent="0.25">
      <c r="A87" s="144"/>
      <c r="B87" s="144"/>
      <c r="C87" s="98">
        <v>18</v>
      </c>
      <c r="D87" s="98">
        <v>7</v>
      </c>
      <c r="E87" s="99">
        <v>16</v>
      </c>
      <c r="F87" s="100">
        <v>1</v>
      </c>
      <c r="G87" s="101">
        <v>18</v>
      </c>
      <c r="H87" s="102">
        <v>18</v>
      </c>
      <c r="I87" s="100">
        <v>20</v>
      </c>
      <c r="J87" s="101">
        <v>18</v>
      </c>
      <c r="K87" s="103">
        <v>7</v>
      </c>
      <c r="L87" s="103">
        <v>1</v>
      </c>
      <c r="M87" s="103">
        <v>7</v>
      </c>
      <c r="N87" s="104">
        <v>18</v>
      </c>
      <c r="AY87" s="29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CB87" s="32"/>
      <c r="CC87" s="32"/>
      <c r="CD87" s="32"/>
      <c r="CE87" s="32"/>
      <c r="CF87" s="32"/>
      <c r="CG87" s="32"/>
      <c r="CH87" s="32"/>
      <c r="CI87" s="32"/>
      <c r="CJ87" s="32"/>
    </row>
    <row r="88" spans="1:88" s="1" customFormat="1" ht="12.75" customHeight="1" x14ac:dyDescent="0.25">
      <c r="A88" s="144"/>
      <c r="B88" s="144"/>
      <c r="C88" s="98">
        <v>9</v>
      </c>
      <c r="D88" s="98">
        <v>6</v>
      </c>
      <c r="E88" s="99">
        <v>4</v>
      </c>
      <c r="F88" s="100">
        <v>18</v>
      </c>
      <c r="G88" s="101">
        <v>16</v>
      </c>
      <c r="H88" s="102">
        <v>3</v>
      </c>
      <c r="I88" s="100">
        <v>9</v>
      </c>
      <c r="J88" s="101">
        <v>9</v>
      </c>
      <c r="K88" s="103">
        <v>18</v>
      </c>
      <c r="L88" s="103">
        <v>15</v>
      </c>
      <c r="M88" s="103">
        <v>21</v>
      </c>
      <c r="N88" s="104">
        <v>9</v>
      </c>
      <c r="AN88" s="78"/>
      <c r="AO88" s="32"/>
      <c r="AY88" s="29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CC88" s="32"/>
      <c r="CD88" s="32"/>
      <c r="CE88" s="32"/>
      <c r="CF88" s="32"/>
      <c r="CG88" s="32"/>
      <c r="CH88" s="32"/>
      <c r="CI88" s="32"/>
      <c r="CJ88" s="32"/>
    </row>
    <row r="89" spans="1:88" s="1" customFormat="1" ht="12.75" customHeight="1" x14ac:dyDescent="0.25">
      <c r="A89" s="144">
        <f>(A17)</f>
        <v>14</v>
      </c>
      <c r="B89" s="144" t="str">
        <f>T(B17)</f>
        <v/>
      </c>
      <c r="C89" s="98">
        <v>20</v>
      </c>
      <c r="D89" s="98">
        <v>7</v>
      </c>
      <c r="E89" s="99">
        <v>16</v>
      </c>
      <c r="F89" s="100">
        <v>18</v>
      </c>
      <c r="G89" s="101">
        <v>1</v>
      </c>
      <c r="H89" s="102">
        <v>1</v>
      </c>
      <c r="I89" s="100">
        <v>20</v>
      </c>
      <c r="J89" s="101">
        <v>20</v>
      </c>
      <c r="K89" s="103">
        <v>6</v>
      </c>
      <c r="L89" s="103">
        <v>4</v>
      </c>
      <c r="M89" s="103">
        <v>6</v>
      </c>
      <c r="N89" s="104">
        <v>20</v>
      </c>
      <c r="AY89" s="29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CC89" s="32"/>
      <c r="CD89" s="32"/>
      <c r="CE89" s="32"/>
      <c r="CF89" s="32"/>
      <c r="CG89" s="32"/>
      <c r="CH89" s="32"/>
      <c r="CI89" s="32"/>
      <c r="CJ89" s="32"/>
    </row>
    <row r="90" spans="1:88" s="1" customFormat="1" ht="12.75" customHeight="1" x14ac:dyDescent="0.25">
      <c r="A90" s="144"/>
      <c r="B90" s="144"/>
      <c r="C90" s="98">
        <v>5</v>
      </c>
      <c r="D90" s="98">
        <v>1</v>
      </c>
      <c r="E90" s="99">
        <v>10</v>
      </c>
      <c r="F90" s="100">
        <v>9</v>
      </c>
      <c r="G90" s="101">
        <v>6</v>
      </c>
      <c r="H90" s="102">
        <v>3</v>
      </c>
      <c r="I90" s="100">
        <v>12</v>
      </c>
      <c r="J90" s="101">
        <v>14</v>
      </c>
      <c r="K90" s="103">
        <v>11</v>
      </c>
      <c r="L90" s="103">
        <v>6</v>
      </c>
      <c r="M90" s="103">
        <v>16</v>
      </c>
      <c r="N90" s="104">
        <v>12</v>
      </c>
      <c r="AY90" s="29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CC90" s="32"/>
      <c r="CD90" s="32"/>
      <c r="CE90" s="32"/>
      <c r="CF90" s="32"/>
      <c r="CG90" s="32"/>
      <c r="CH90" s="32"/>
      <c r="CI90" s="32"/>
      <c r="CJ90" s="32"/>
    </row>
    <row r="91" spans="1:88" s="1" customFormat="1" ht="12.75" customHeight="1" x14ac:dyDescent="0.25">
      <c r="A91" s="144"/>
      <c r="B91" s="144"/>
      <c r="C91" s="98">
        <v>12</v>
      </c>
      <c r="D91" s="98">
        <v>16</v>
      </c>
      <c r="E91" s="99">
        <v>4</v>
      </c>
      <c r="F91" s="100">
        <v>3</v>
      </c>
      <c r="G91" s="101">
        <v>18</v>
      </c>
      <c r="H91" s="102">
        <v>18</v>
      </c>
      <c r="I91" s="100">
        <v>13</v>
      </c>
      <c r="J91" s="101">
        <v>12</v>
      </c>
      <c r="K91" s="103">
        <v>10</v>
      </c>
      <c r="L91" s="103">
        <v>7</v>
      </c>
      <c r="M91" s="103">
        <v>7</v>
      </c>
      <c r="N91" s="104">
        <v>5</v>
      </c>
      <c r="AY91" s="29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CC91" s="32"/>
      <c r="CD91" s="32"/>
      <c r="CE91" s="32"/>
      <c r="CF91" s="32"/>
      <c r="CG91" s="32"/>
      <c r="CH91" s="32"/>
      <c r="CI91" s="32"/>
      <c r="CJ91" s="32"/>
    </row>
    <row r="92" spans="1:88" s="1" customFormat="1" ht="12.75" customHeight="1" x14ac:dyDescent="0.25">
      <c r="A92" s="144">
        <f>(A18)</f>
        <v>15</v>
      </c>
      <c r="B92" s="144" t="str">
        <f>T(B18)</f>
        <v/>
      </c>
      <c r="C92" s="98">
        <v>19</v>
      </c>
      <c r="D92" s="98">
        <v>14</v>
      </c>
      <c r="E92" s="99">
        <v>16</v>
      </c>
      <c r="F92" s="100">
        <v>1</v>
      </c>
      <c r="G92" s="101">
        <v>11</v>
      </c>
      <c r="H92" s="102">
        <v>1</v>
      </c>
      <c r="I92" s="100">
        <v>20</v>
      </c>
      <c r="J92" s="101">
        <v>9</v>
      </c>
      <c r="K92" s="103">
        <v>6</v>
      </c>
      <c r="L92" s="103">
        <v>6</v>
      </c>
      <c r="M92" s="103">
        <v>6</v>
      </c>
      <c r="N92" s="104">
        <v>19</v>
      </c>
      <c r="AY92" s="29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CC92" s="32"/>
      <c r="CD92" s="32"/>
      <c r="CE92" s="32"/>
      <c r="CF92" s="32"/>
      <c r="CG92" s="32"/>
      <c r="CH92" s="32"/>
      <c r="CI92" s="32"/>
      <c r="CJ92" s="32"/>
    </row>
    <row r="93" spans="1:88" s="1" customFormat="1" ht="12.75" customHeight="1" x14ac:dyDescent="0.25">
      <c r="A93" s="144"/>
      <c r="B93" s="144"/>
      <c r="C93" s="98">
        <v>17</v>
      </c>
      <c r="D93" s="98">
        <v>9</v>
      </c>
      <c r="E93" s="99">
        <v>13</v>
      </c>
      <c r="F93" s="100">
        <v>9</v>
      </c>
      <c r="G93" s="101">
        <v>10</v>
      </c>
      <c r="H93" s="102">
        <v>8</v>
      </c>
      <c r="I93" s="100">
        <v>5</v>
      </c>
      <c r="J93" s="101">
        <v>20</v>
      </c>
      <c r="K93" s="103">
        <v>10</v>
      </c>
      <c r="L93" s="103">
        <v>21</v>
      </c>
      <c r="M93" s="103">
        <v>7</v>
      </c>
      <c r="N93" s="104">
        <v>21</v>
      </c>
      <c r="AY93" s="29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CC93" s="32"/>
      <c r="CD93" s="32"/>
      <c r="CE93" s="32"/>
      <c r="CF93" s="32"/>
      <c r="CG93" s="32"/>
      <c r="CH93" s="32"/>
      <c r="CI93" s="32"/>
      <c r="CJ93" s="32"/>
    </row>
    <row r="94" spans="1:88" s="1" customFormat="1" ht="12.75" customHeight="1" x14ac:dyDescent="0.25">
      <c r="A94" s="144"/>
      <c r="B94" s="144"/>
      <c r="C94" s="98">
        <v>5</v>
      </c>
      <c r="D94" s="98">
        <v>3</v>
      </c>
      <c r="E94" s="99">
        <v>6</v>
      </c>
      <c r="F94" s="100">
        <v>18</v>
      </c>
      <c r="G94" s="101">
        <v>4</v>
      </c>
      <c r="H94" s="102">
        <v>18</v>
      </c>
      <c r="I94" s="100">
        <v>21</v>
      </c>
      <c r="J94" s="101">
        <v>2</v>
      </c>
      <c r="K94" s="103">
        <v>21</v>
      </c>
      <c r="L94" s="103">
        <v>7</v>
      </c>
      <c r="M94" s="103">
        <v>14</v>
      </c>
      <c r="N94" s="104">
        <v>17</v>
      </c>
      <c r="AY94" s="29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CC94" s="32"/>
      <c r="CD94" s="32"/>
      <c r="CE94" s="32"/>
      <c r="CF94" s="32"/>
      <c r="CG94" s="32"/>
      <c r="CH94" s="32"/>
      <c r="CI94" s="32"/>
      <c r="CJ94" s="32"/>
    </row>
    <row r="95" spans="1:88" s="1" customFormat="1" ht="12.75" customHeight="1" x14ac:dyDescent="0.25">
      <c r="A95" s="144">
        <f>(A19)</f>
        <v>16</v>
      </c>
      <c r="B95" s="144" t="str">
        <f>T(B19)</f>
        <v/>
      </c>
      <c r="C95" s="98">
        <v>11</v>
      </c>
      <c r="D95" s="98">
        <v>14</v>
      </c>
      <c r="E95" s="99">
        <v>6</v>
      </c>
      <c r="F95" s="100">
        <v>1</v>
      </c>
      <c r="G95" s="101">
        <v>1</v>
      </c>
      <c r="H95" s="102">
        <v>8</v>
      </c>
      <c r="I95" s="100">
        <v>20</v>
      </c>
      <c r="J95" s="101">
        <v>5</v>
      </c>
      <c r="K95" s="103">
        <v>6</v>
      </c>
      <c r="L95" s="103">
        <v>6</v>
      </c>
      <c r="M95" s="103">
        <v>6</v>
      </c>
      <c r="N95" s="104">
        <v>11</v>
      </c>
      <c r="AY95" s="29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CC95" s="32"/>
      <c r="CD95" s="32"/>
      <c r="CE95" s="32"/>
      <c r="CF95" s="32"/>
      <c r="CG95" s="32"/>
      <c r="CH95" s="32"/>
      <c r="CI95" s="32"/>
      <c r="CJ95" s="32"/>
    </row>
    <row r="96" spans="1:88" s="1" customFormat="1" ht="12.75" customHeight="1" x14ac:dyDescent="0.25">
      <c r="A96" s="144"/>
      <c r="B96" s="144"/>
      <c r="C96" s="98">
        <v>21</v>
      </c>
      <c r="D96" s="98">
        <v>4</v>
      </c>
      <c r="E96" s="99">
        <v>10</v>
      </c>
      <c r="F96" s="100">
        <v>9</v>
      </c>
      <c r="G96" s="101">
        <v>8</v>
      </c>
      <c r="H96" s="102">
        <v>9</v>
      </c>
      <c r="I96" s="100">
        <v>18</v>
      </c>
      <c r="J96" s="101">
        <v>20</v>
      </c>
      <c r="K96" s="103">
        <v>7</v>
      </c>
      <c r="L96" s="103">
        <v>7</v>
      </c>
      <c r="M96" s="103">
        <v>14</v>
      </c>
      <c r="N96" s="104">
        <v>21</v>
      </c>
      <c r="AY96" s="29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CC96" s="32"/>
      <c r="CD96" s="32"/>
      <c r="CE96" s="32"/>
      <c r="CF96" s="32"/>
      <c r="CG96" s="32"/>
      <c r="CH96" s="32"/>
      <c r="CI96" s="32"/>
      <c r="CJ96" s="32"/>
    </row>
    <row r="97" spans="1:88" s="1" customFormat="1" ht="12.75" customHeight="1" x14ac:dyDescent="0.25">
      <c r="A97" s="144"/>
      <c r="B97" s="144"/>
      <c r="C97" s="98">
        <v>17</v>
      </c>
      <c r="D97" s="98">
        <v>9</v>
      </c>
      <c r="E97" s="99">
        <v>4</v>
      </c>
      <c r="F97" s="100">
        <v>8</v>
      </c>
      <c r="G97" s="101">
        <v>9</v>
      </c>
      <c r="H97" s="102">
        <v>1</v>
      </c>
      <c r="I97" s="100">
        <v>5</v>
      </c>
      <c r="J97" s="101">
        <v>2</v>
      </c>
      <c r="K97" s="103">
        <v>21</v>
      </c>
      <c r="L97" s="103">
        <v>4</v>
      </c>
      <c r="M97" s="103">
        <v>7</v>
      </c>
      <c r="N97" s="104">
        <v>17</v>
      </c>
      <c r="AY97" s="29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CC97" s="32"/>
      <c r="CD97" s="32"/>
      <c r="CE97" s="32"/>
      <c r="CF97" s="32"/>
      <c r="CG97" s="32"/>
      <c r="CH97" s="32"/>
      <c r="CI97" s="32"/>
      <c r="CJ97" s="32"/>
    </row>
    <row r="98" spans="1:88" s="1" customFormat="1" ht="12.75" customHeight="1" x14ac:dyDescent="0.25">
      <c r="A98" s="144">
        <f>(A20)</f>
        <v>17</v>
      </c>
      <c r="B98" s="144" t="str">
        <f>T(B20)</f>
        <v/>
      </c>
      <c r="C98" s="98">
        <v>10</v>
      </c>
      <c r="D98" s="98">
        <v>9</v>
      </c>
      <c r="E98" s="99">
        <v>2</v>
      </c>
      <c r="F98" s="100">
        <v>6</v>
      </c>
      <c r="G98" s="101">
        <v>16</v>
      </c>
      <c r="H98" s="102">
        <v>9</v>
      </c>
      <c r="I98" s="100">
        <v>5</v>
      </c>
      <c r="J98" s="101">
        <v>4</v>
      </c>
      <c r="K98" s="103">
        <v>10</v>
      </c>
      <c r="L98" s="103">
        <v>6</v>
      </c>
      <c r="M98" s="103">
        <v>6</v>
      </c>
      <c r="N98" s="104">
        <v>10</v>
      </c>
      <c r="AY98" s="29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CC98" s="32"/>
      <c r="CD98" s="32"/>
      <c r="CE98" s="32"/>
      <c r="CF98" s="32"/>
      <c r="CG98" s="32"/>
      <c r="CH98" s="32"/>
      <c r="CI98" s="32"/>
      <c r="CJ98" s="32"/>
    </row>
    <row r="99" spans="1:88" s="1" customFormat="1" ht="12.75" customHeight="1" x14ac:dyDescent="0.25">
      <c r="A99" s="144"/>
      <c r="B99" s="144"/>
      <c r="C99" s="98">
        <v>11</v>
      </c>
      <c r="D99" s="98">
        <v>6</v>
      </c>
      <c r="E99" s="99">
        <v>6</v>
      </c>
      <c r="F99" s="100">
        <v>9</v>
      </c>
      <c r="G99" s="101">
        <v>21</v>
      </c>
      <c r="H99" s="102">
        <v>16</v>
      </c>
      <c r="I99" s="100">
        <v>8</v>
      </c>
      <c r="J99" s="101">
        <v>11</v>
      </c>
      <c r="K99" s="103">
        <v>6</v>
      </c>
      <c r="L99" s="103">
        <v>10</v>
      </c>
      <c r="M99" s="103">
        <v>14</v>
      </c>
      <c r="N99" s="104">
        <v>11</v>
      </c>
      <c r="AY99" s="29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CC99" s="32"/>
      <c r="CD99" s="32"/>
      <c r="CE99" s="32"/>
      <c r="CF99" s="32"/>
      <c r="CG99" s="32"/>
      <c r="CH99" s="32"/>
      <c r="CI99" s="32"/>
      <c r="CJ99" s="32"/>
    </row>
    <row r="100" spans="1:88" s="1" customFormat="1" ht="12.75" customHeight="1" x14ac:dyDescent="0.25">
      <c r="A100" s="144"/>
      <c r="B100" s="144"/>
      <c r="C100" s="98">
        <v>19</v>
      </c>
      <c r="D100" s="98">
        <v>7</v>
      </c>
      <c r="E100" s="99">
        <v>16</v>
      </c>
      <c r="F100" s="100">
        <v>1</v>
      </c>
      <c r="G100" s="101">
        <v>6</v>
      </c>
      <c r="H100" s="102">
        <v>19</v>
      </c>
      <c r="I100" s="100">
        <v>18</v>
      </c>
      <c r="J100" s="101">
        <v>3</v>
      </c>
      <c r="K100" s="103">
        <v>19</v>
      </c>
      <c r="L100" s="103">
        <v>7</v>
      </c>
      <c r="M100" s="103">
        <v>7</v>
      </c>
      <c r="N100" s="104">
        <v>21</v>
      </c>
      <c r="AY100" s="29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CC100" s="32"/>
      <c r="CD100" s="32"/>
      <c r="CE100" s="32"/>
      <c r="CF100" s="32"/>
      <c r="CG100" s="32"/>
      <c r="CH100" s="32"/>
      <c r="CI100" s="32"/>
      <c r="CJ100" s="32"/>
    </row>
    <row r="101" spans="1:88" s="1" customFormat="1" ht="12.75" customHeight="1" x14ac:dyDescent="0.25">
      <c r="A101" s="144">
        <f>(A21)</f>
        <v>18</v>
      </c>
      <c r="B101" s="144" t="str">
        <f>T(B21)</f>
        <v/>
      </c>
      <c r="C101" s="98">
        <v>3</v>
      </c>
      <c r="D101" s="98">
        <v>15</v>
      </c>
      <c r="E101" s="99">
        <v>16</v>
      </c>
      <c r="F101" s="100">
        <v>6</v>
      </c>
      <c r="G101" s="101">
        <v>3</v>
      </c>
      <c r="H101" s="102">
        <v>1</v>
      </c>
      <c r="I101" s="100">
        <v>14</v>
      </c>
      <c r="J101" s="101">
        <v>9</v>
      </c>
      <c r="K101" s="103">
        <v>6</v>
      </c>
      <c r="L101" s="103">
        <v>3</v>
      </c>
      <c r="M101" s="103">
        <v>14</v>
      </c>
      <c r="N101" s="104">
        <v>3</v>
      </c>
      <c r="AY101" s="29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CC101" s="32"/>
      <c r="CD101" s="32"/>
      <c r="CE101" s="32"/>
      <c r="CF101" s="32"/>
      <c r="CG101" s="32"/>
      <c r="CH101" s="32"/>
      <c r="CI101" s="32"/>
      <c r="CJ101" s="32"/>
    </row>
    <row r="102" spans="1:88" s="1" customFormat="1" ht="12.75" customHeight="1" x14ac:dyDescent="0.25">
      <c r="A102" s="144"/>
      <c r="B102" s="144"/>
      <c r="C102" s="98">
        <v>8</v>
      </c>
      <c r="D102" s="98">
        <v>16</v>
      </c>
      <c r="E102" s="99">
        <v>15</v>
      </c>
      <c r="F102" s="100">
        <v>16</v>
      </c>
      <c r="G102" s="101">
        <v>16</v>
      </c>
      <c r="H102" s="102">
        <v>3</v>
      </c>
      <c r="I102" s="100">
        <v>5</v>
      </c>
      <c r="J102" s="101">
        <v>13</v>
      </c>
      <c r="K102" s="103">
        <v>4</v>
      </c>
      <c r="L102" s="103">
        <v>6</v>
      </c>
      <c r="M102" s="103">
        <v>6</v>
      </c>
      <c r="N102" s="104">
        <v>8</v>
      </c>
      <c r="AY102" s="29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CC102" s="32"/>
      <c r="CD102" s="32"/>
      <c r="CE102" s="32"/>
      <c r="CF102" s="32"/>
      <c r="CG102" s="32"/>
      <c r="CH102" s="32"/>
      <c r="CI102" s="32"/>
      <c r="CJ102" s="32"/>
    </row>
    <row r="103" spans="1:88" s="1" customFormat="1" ht="12.75" customHeight="1" x14ac:dyDescent="0.25">
      <c r="A103" s="144"/>
      <c r="B103" s="144"/>
      <c r="C103" s="98">
        <v>5</v>
      </c>
      <c r="D103" s="98">
        <v>4</v>
      </c>
      <c r="E103" s="99">
        <v>10</v>
      </c>
      <c r="F103" s="100">
        <v>15</v>
      </c>
      <c r="G103" s="101">
        <v>1</v>
      </c>
      <c r="H103" s="102">
        <v>6</v>
      </c>
      <c r="I103" s="100">
        <v>2</v>
      </c>
      <c r="J103" s="101">
        <v>14</v>
      </c>
      <c r="K103" s="103">
        <v>10</v>
      </c>
      <c r="L103" s="103">
        <v>15</v>
      </c>
      <c r="M103" s="103">
        <v>15</v>
      </c>
      <c r="N103" s="104">
        <v>13</v>
      </c>
      <c r="AY103" s="29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CC103" s="32"/>
      <c r="CD103" s="32"/>
      <c r="CE103" s="32"/>
      <c r="CF103" s="32"/>
      <c r="CG103" s="32"/>
      <c r="CH103" s="32"/>
      <c r="CI103" s="32"/>
      <c r="CJ103" s="32"/>
    </row>
    <row r="104" spans="1:88" s="1" customFormat="1" ht="12.75" customHeight="1" x14ac:dyDescent="0.25">
      <c r="A104" s="144">
        <f>(A22)</f>
        <v>19</v>
      </c>
      <c r="B104" s="144" t="str">
        <f>T(B22)</f>
        <v/>
      </c>
      <c r="C104" s="98">
        <v>11</v>
      </c>
      <c r="D104" s="98">
        <v>6</v>
      </c>
      <c r="E104" s="99">
        <v>10</v>
      </c>
      <c r="F104" s="100">
        <v>6</v>
      </c>
      <c r="G104" s="101">
        <v>1</v>
      </c>
      <c r="H104" s="102">
        <v>16</v>
      </c>
      <c r="I104" s="100">
        <v>20</v>
      </c>
      <c r="J104" s="101">
        <v>2</v>
      </c>
      <c r="K104" s="103">
        <v>6</v>
      </c>
      <c r="L104" s="103">
        <v>6</v>
      </c>
      <c r="M104" s="103">
        <v>7</v>
      </c>
      <c r="N104" s="104">
        <v>11</v>
      </c>
      <c r="AY104" s="29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CC104" s="32"/>
      <c r="CD104" s="32"/>
      <c r="CE104" s="32"/>
      <c r="CF104" s="32"/>
      <c r="CG104" s="32"/>
      <c r="CH104" s="32"/>
      <c r="CI104" s="32"/>
      <c r="CJ104" s="32"/>
    </row>
    <row r="105" spans="1:88" s="1" customFormat="1" ht="12.75" customHeight="1" x14ac:dyDescent="0.25">
      <c r="A105" s="144"/>
      <c r="B105" s="144"/>
      <c r="C105" s="98">
        <v>17</v>
      </c>
      <c r="D105" s="98">
        <v>7</v>
      </c>
      <c r="E105" s="99">
        <v>16</v>
      </c>
      <c r="F105" s="100">
        <v>10</v>
      </c>
      <c r="G105" s="101">
        <v>16</v>
      </c>
      <c r="H105" s="102">
        <v>3</v>
      </c>
      <c r="I105" s="100">
        <v>5</v>
      </c>
      <c r="J105" s="101">
        <v>11</v>
      </c>
      <c r="K105" s="103">
        <v>10</v>
      </c>
      <c r="L105" s="103">
        <v>10</v>
      </c>
      <c r="M105" s="103">
        <v>6</v>
      </c>
      <c r="N105" s="104">
        <v>17</v>
      </c>
      <c r="AD105" s="26"/>
      <c r="AI105" s="26"/>
      <c r="AJ105" s="26"/>
      <c r="AK105" s="26"/>
      <c r="AL105" s="26"/>
      <c r="AY105" s="29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CC105" s="32"/>
      <c r="CD105" s="32"/>
      <c r="CE105" s="32"/>
      <c r="CF105" s="32"/>
      <c r="CG105" s="32"/>
      <c r="CH105" s="32"/>
      <c r="CI105" s="32"/>
      <c r="CJ105" s="32"/>
    </row>
    <row r="106" spans="1:88" s="1" customFormat="1" ht="12.75" customHeight="1" x14ac:dyDescent="0.25">
      <c r="A106" s="144"/>
      <c r="B106" s="144"/>
      <c r="C106" s="98">
        <v>10</v>
      </c>
      <c r="D106" s="98">
        <v>14</v>
      </c>
      <c r="E106" s="99">
        <v>6</v>
      </c>
      <c r="F106" s="100">
        <v>16</v>
      </c>
      <c r="G106" s="101">
        <v>3</v>
      </c>
      <c r="H106" s="102">
        <v>1</v>
      </c>
      <c r="I106" s="100">
        <v>14</v>
      </c>
      <c r="J106" s="101">
        <v>4</v>
      </c>
      <c r="K106" s="103">
        <v>4</v>
      </c>
      <c r="L106" s="103">
        <v>7</v>
      </c>
      <c r="M106" s="103">
        <v>14</v>
      </c>
      <c r="N106" s="104">
        <v>10</v>
      </c>
      <c r="O106" s="26"/>
      <c r="P106" s="26"/>
      <c r="AD106" s="26"/>
      <c r="AE106" s="26"/>
      <c r="AF106" s="26"/>
      <c r="AI106" s="26"/>
      <c r="AJ106" s="26"/>
      <c r="AK106" s="26"/>
      <c r="AL106" s="26"/>
      <c r="AY106" s="29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CC106" s="32"/>
      <c r="CD106" s="32"/>
      <c r="CE106" s="32"/>
      <c r="CF106" s="32"/>
      <c r="CG106" s="32"/>
      <c r="CH106" s="32"/>
      <c r="CI106" s="32"/>
      <c r="CJ106" s="32"/>
    </row>
    <row r="107" spans="1:88" s="1" customFormat="1" ht="12.75" customHeight="1" x14ac:dyDescent="0.25">
      <c r="A107" s="144">
        <f>(A23)</f>
        <v>20</v>
      </c>
      <c r="B107" s="144" t="str">
        <f>T(B23)</f>
        <v/>
      </c>
      <c r="C107" s="98">
        <v>3</v>
      </c>
      <c r="D107" s="98">
        <v>7</v>
      </c>
      <c r="E107" s="99">
        <v>6</v>
      </c>
      <c r="F107" s="100">
        <v>9</v>
      </c>
      <c r="G107" s="101">
        <v>9</v>
      </c>
      <c r="H107" s="102">
        <v>1</v>
      </c>
      <c r="I107" s="100">
        <v>11</v>
      </c>
      <c r="J107" s="101">
        <v>5</v>
      </c>
      <c r="K107" s="103">
        <v>4</v>
      </c>
      <c r="L107" s="103">
        <v>4</v>
      </c>
      <c r="M107" s="103">
        <v>1</v>
      </c>
      <c r="N107" s="104">
        <v>5</v>
      </c>
      <c r="AY107" s="29"/>
      <c r="BP107" s="26"/>
      <c r="BQ107" s="77"/>
      <c r="BR107" s="77"/>
      <c r="BS107" s="77"/>
      <c r="BT107" s="77"/>
      <c r="BU107" s="77"/>
      <c r="BV107" s="77"/>
      <c r="BW107" s="77"/>
      <c r="BX107" s="77"/>
      <c r="BY107" s="77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</row>
    <row r="108" spans="1:88" s="1" customFormat="1" ht="12.75" customHeight="1" x14ac:dyDescent="0.25">
      <c r="A108" s="144"/>
      <c r="B108" s="144"/>
      <c r="C108" s="98">
        <v>18</v>
      </c>
      <c r="D108" s="98">
        <v>10</v>
      </c>
      <c r="E108" s="99">
        <v>10</v>
      </c>
      <c r="F108" s="100">
        <v>16</v>
      </c>
      <c r="G108" s="101">
        <v>15</v>
      </c>
      <c r="H108" s="102">
        <v>16</v>
      </c>
      <c r="I108" s="100">
        <v>8</v>
      </c>
      <c r="J108" s="101">
        <v>13</v>
      </c>
      <c r="K108" s="103">
        <v>1</v>
      </c>
      <c r="L108" s="103">
        <v>1</v>
      </c>
      <c r="M108" s="103">
        <v>7</v>
      </c>
      <c r="N108" s="104">
        <v>8</v>
      </c>
      <c r="AY108" s="29"/>
      <c r="BP108" s="26"/>
      <c r="BQ108" s="77"/>
      <c r="BR108" s="77"/>
      <c r="BS108" s="77"/>
      <c r="BT108" s="77"/>
      <c r="BU108" s="77"/>
      <c r="BV108" s="77"/>
      <c r="BW108" s="77"/>
      <c r="BX108" s="77"/>
      <c r="BY108" s="77"/>
      <c r="BZ108" s="32"/>
      <c r="CA108" s="32"/>
      <c r="CB108" s="32"/>
      <c r="CC108" s="32"/>
      <c r="CD108" s="32"/>
      <c r="CE108" s="32"/>
      <c r="CF108" s="32"/>
      <c r="CG108" s="32"/>
      <c r="CH108" s="32"/>
      <c r="CI108" s="32"/>
      <c r="CJ108" s="32"/>
    </row>
    <row r="109" spans="1:88" s="1" customFormat="1" ht="12.75" customHeight="1" x14ac:dyDescent="0.25">
      <c r="A109" s="144"/>
      <c r="B109" s="144"/>
      <c r="C109" s="98">
        <v>13</v>
      </c>
      <c r="D109" s="98">
        <v>16</v>
      </c>
      <c r="E109" s="99">
        <v>16</v>
      </c>
      <c r="F109" s="100">
        <v>6</v>
      </c>
      <c r="G109" s="101">
        <v>16</v>
      </c>
      <c r="H109" s="102">
        <v>3</v>
      </c>
      <c r="I109" s="100">
        <v>13</v>
      </c>
      <c r="J109" s="101">
        <v>8</v>
      </c>
      <c r="K109" s="103">
        <v>7</v>
      </c>
      <c r="L109" s="103">
        <v>7</v>
      </c>
      <c r="M109" s="103">
        <v>6</v>
      </c>
      <c r="N109" s="104">
        <v>18</v>
      </c>
      <c r="AY109" s="29"/>
      <c r="BP109" s="26"/>
      <c r="BQ109" s="77"/>
      <c r="BR109" s="77"/>
      <c r="BS109" s="77"/>
      <c r="BT109" s="77"/>
      <c r="BU109" s="77"/>
      <c r="BV109" s="77"/>
      <c r="BW109" s="77"/>
      <c r="BX109" s="77"/>
      <c r="BY109" s="77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</row>
    <row r="110" spans="1:88" s="1" customFormat="1" ht="12.75" customHeight="1" x14ac:dyDescent="0.25">
      <c r="A110" s="144">
        <f>(A24)</f>
        <v>21</v>
      </c>
      <c r="B110" s="144" t="str">
        <f>T(B24)</f>
        <v/>
      </c>
      <c r="C110" s="98">
        <v>15</v>
      </c>
      <c r="D110" s="98">
        <v>1</v>
      </c>
      <c r="E110" s="99">
        <v>16</v>
      </c>
      <c r="F110" s="100">
        <v>6</v>
      </c>
      <c r="G110" s="101">
        <v>6</v>
      </c>
      <c r="H110" s="102">
        <v>3</v>
      </c>
      <c r="I110" s="100">
        <v>20</v>
      </c>
      <c r="J110" s="101">
        <v>5</v>
      </c>
      <c r="K110" s="103">
        <v>10</v>
      </c>
      <c r="L110" s="103">
        <v>1</v>
      </c>
      <c r="M110" s="103">
        <v>6</v>
      </c>
      <c r="N110" s="104">
        <v>11</v>
      </c>
      <c r="AY110" s="29"/>
      <c r="BP110" s="26"/>
      <c r="BQ110" s="77"/>
      <c r="BR110" s="77"/>
      <c r="BS110" s="77"/>
      <c r="BT110" s="77"/>
      <c r="BU110" s="77"/>
      <c r="BV110" s="77"/>
      <c r="BW110" s="77"/>
      <c r="BX110" s="77"/>
      <c r="BY110" s="77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</row>
    <row r="111" spans="1:88" s="1" customFormat="1" ht="12.75" customHeight="1" x14ac:dyDescent="0.25">
      <c r="A111" s="144"/>
      <c r="B111" s="144"/>
      <c r="C111" s="98">
        <v>19</v>
      </c>
      <c r="D111" s="98">
        <v>6</v>
      </c>
      <c r="E111" s="99">
        <v>11</v>
      </c>
      <c r="F111" s="100">
        <v>10</v>
      </c>
      <c r="G111" s="101">
        <v>16</v>
      </c>
      <c r="H111" s="102">
        <v>10</v>
      </c>
      <c r="I111" s="100">
        <v>11</v>
      </c>
      <c r="J111" s="101">
        <v>11</v>
      </c>
      <c r="K111" s="103">
        <v>7</v>
      </c>
      <c r="L111" s="103">
        <v>4</v>
      </c>
      <c r="M111" s="103">
        <v>1</v>
      </c>
      <c r="N111" s="104">
        <v>17</v>
      </c>
      <c r="AY111" s="29"/>
      <c r="BP111" s="26"/>
      <c r="BQ111" s="77"/>
      <c r="BR111" s="77"/>
      <c r="BS111" s="77"/>
      <c r="BT111" s="77"/>
      <c r="BU111" s="77"/>
      <c r="BV111" s="77"/>
      <c r="BW111" s="77"/>
      <c r="BX111" s="77"/>
      <c r="BY111" s="77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</row>
    <row r="112" spans="1:88" s="1" customFormat="1" ht="12.75" customHeight="1" x14ac:dyDescent="0.25">
      <c r="A112" s="144"/>
      <c r="B112" s="144"/>
      <c r="C112" s="98">
        <v>7</v>
      </c>
      <c r="D112" s="98">
        <v>8</v>
      </c>
      <c r="E112" s="99">
        <v>15</v>
      </c>
      <c r="F112" s="100">
        <v>16</v>
      </c>
      <c r="G112" s="101">
        <v>4</v>
      </c>
      <c r="H112" s="102">
        <v>6</v>
      </c>
      <c r="I112" s="100">
        <v>19</v>
      </c>
      <c r="J112" s="101">
        <v>20</v>
      </c>
      <c r="K112" s="103">
        <v>6</v>
      </c>
      <c r="L112" s="103">
        <v>6</v>
      </c>
      <c r="M112" s="103">
        <v>20</v>
      </c>
      <c r="N112" s="104">
        <v>10</v>
      </c>
      <c r="AY112" s="29"/>
      <c r="BP112" s="26"/>
      <c r="BQ112" s="77"/>
      <c r="BR112" s="77"/>
      <c r="BS112" s="77"/>
      <c r="BT112" s="77"/>
      <c r="BU112" s="77"/>
      <c r="BV112" s="77"/>
      <c r="BW112" s="77"/>
      <c r="BX112" s="77"/>
      <c r="BY112" s="77"/>
      <c r="BZ112" s="32"/>
      <c r="CA112" s="32"/>
      <c r="CB112" s="32"/>
      <c r="CC112" s="32"/>
      <c r="CD112" s="32"/>
      <c r="CE112" s="32"/>
      <c r="CF112" s="32"/>
      <c r="CG112" s="32"/>
      <c r="CH112" s="32"/>
      <c r="CI112" s="32"/>
      <c r="CJ112" s="32"/>
    </row>
    <row r="113" spans="1:88" s="1" customFormat="1" ht="12.75" customHeight="1" x14ac:dyDescent="0.25">
      <c r="A113" s="144">
        <f>(A25)</f>
        <v>22</v>
      </c>
      <c r="B113" s="144" t="str">
        <f>T(B25)</f>
        <v/>
      </c>
      <c r="C113" s="98"/>
      <c r="D113" s="98"/>
      <c r="E113" s="99"/>
      <c r="F113" s="100"/>
      <c r="G113" s="101"/>
      <c r="H113" s="102"/>
      <c r="I113" s="100"/>
      <c r="J113" s="101"/>
      <c r="K113" s="103"/>
      <c r="L113" s="103"/>
      <c r="M113" s="103"/>
      <c r="N113" s="104"/>
      <c r="AY113" s="29"/>
      <c r="BP113" s="26"/>
      <c r="BQ113" s="77"/>
      <c r="BR113" s="77"/>
      <c r="BS113" s="77"/>
      <c r="BT113" s="77"/>
      <c r="BU113" s="77"/>
      <c r="BV113" s="77"/>
      <c r="BW113" s="77"/>
      <c r="BX113" s="77"/>
      <c r="BY113" s="77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</row>
    <row r="114" spans="1:88" s="1" customFormat="1" ht="12.75" customHeight="1" x14ac:dyDescent="0.25">
      <c r="A114" s="144"/>
      <c r="B114" s="144"/>
      <c r="C114" s="98"/>
      <c r="D114" s="98"/>
      <c r="E114" s="99"/>
      <c r="F114" s="100"/>
      <c r="G114" s="101"/>
      <c r="H114" s="102"/>
      <c r="I114" s="100"/>
      <c r="J114" s="101"/>
      <c r="K114" s="103"/>
      <c r="L114" s="103"/>
      <c r="M114" s="103"/>
      <c r="N114" s="104"/>
      <c r="AY114" s="29"/>
      <c r="BP114" s="26"/>
      <c r="BQ114" s="77"/>
      <c r="BR114" s="77"/>
      <c r="BS114" s="77"/>
      <c r="BT114" s="77"/>
      <c r="BU114" s="77"/>
      <c r="BV114" s="77"/>
      <c r="BW114" s="77"/>
      <c r="BX114" s="77"/>
      <c r="BY114" s="77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</row>
    <row r="115" spans="1:88" s="1" customFormat="1" ht="12.75" customHeight="1" x14ac:dyDescent="0.25">
      <c r="A115" s="144"/>
      <c r="B115" s="144"/>
      <c r="C115" s="98"/>
      <c r="D115" s="98"/>
      <c r="E115" s="99"/>
      <c r="F115" s="100"/>
      <c r="G115" s="101"/>
      <c r="H115" s="102"/>
      <c r="I115" s="100"/>
      <c r="J115" s="101"/>
      <c r="K115" s="103"/>
      <c r="L115" s="103"/>
      <c r="M115" s="103"/>
      <c r="N115" s="104"/>
      <c r="AY115" s="29"/>
      <c r="BP115" s="26"/>
      <c r="BQ115" s="77"/>
      <c r="BR115" s="77"/>
      <c r="BS115" s="77"/>
      <c r="BT115" s="77"/>
      <c r="BU115" s="77"/>
      <c r="BV115" s="77"/>
      <c r="BW115" s="77"/>
      <c r="BX115" s="77"/>
      <c r="BY115" s="77"/>
      <c r="BZ115" s="32"/>
      <c r="CA115" s="32"/>
      <c r="CB115" s="32"/>
      <c r="CC115" s="32"/>
      <c r="CD115" s="32"/>
      <c r="CE115" s="32"/>
      <c r="CF115" s="32"/>
      <c r="CG115" s="32"/>
      <c r="CH115" s="32"/>
      <c r="CI115" s="32"/>
      <c r="CJ115" s="32"/>
    </row>
    <row r="116" spans="1:88" s="1" customFormat="1" ht="12.75" customHeight="1" x14ac:dyDescent="0.25">
      <c r="A116" s="144">
        <f>(A26)</f>
        <v>23</v>
      </c>
      <c r="B116" s="144" t="str">
        <f>T(B26)</f>
        <v/>
      </c>
      <c r="C116" s="98"/>
      <c r="D116" s="98"/>
      <c r="E116" s="99"/>
      <c r="F116" s="100"/>
      <c r="G116" s="101"/>
      <c r="H116" s="102"/>
      <c r="I116" s="100"/>
      <c r="J116" s="101"/>
      <c r="K116" s="103"/>
      <c r="L116" s="103"/>
      <c r="M116" s="103"/>
      <c r="N116" s="104"/>
      <c r="AY116" s="29"/>
      <c r="BP116" s="26"/>
      <c r="BQ116" s="77"/>
      <c r="BR116" s="77"/>
      <c r="BS116" s="77"/>
      <c r="BT116" s="77"/>
      <c r="BU116" s="77"/>
      <c r="BV116" s="77"/>
      <c r="BW116" s="77"/>
      <c r="BX116" s="77"/>
      <c r="BY116" s="77"/>
      <c r="BZ116" s="32"/>
      <c r="CA116" s="32"/>
      <c r="CB116" s="32"/>
      <c r="CC116" s="32"/>
      <c r="CD116" s="32"/>
      <c r="CE116" s="32"/>
      <c r="CF116" s="32"/>
      <c r="CG116" s="32"/>
      <c r="CH116" s="32"/>
      <c r="CI116" s="32"/>
      <c r="CJ116" s="32"/>
    </row>
    <row r="117" spans="1:88" s="1" customFormat="1" ht="12.75" customHeight="1" x14ac:dyDescent="0.25">
      <c r="A117" s="144"/>
      <c r="B117" s="144"/>
      <c r="C117" s="98"/>
      <c r="D117" s="98"/>
      <c r="E117" s="99"/>
      <c r="F117" s="100"/>
      <c r="G117" s="101"/>
      <c r="H117" s="102"/>
      <c r="I117" s="100"/>
      <c r="J117" s="101"/>
      <c r="K117" s="103"/>
      <c r="L117" s="103"/>
      <c r="M117" s="103"/>
      <c r="N117" s="104"/>
      <c r="AY117" s="29"/>
      <c r="BP117" s="26"/>
      <c r="BQ117" s="77"/>
      <c r="BR117" s="77"/>
      <c r="BS117" s="77"/>
      <c r="BT117" s="77"/>
      <c r="BU117" s="77"/>
      <c r="BV117" s="77"/>
      <c r="BW117" s="77"/>
      <c r="BX117" s="77"/>
      <c r="BY117" s="77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</row>
    <row r="118" spans="1:88" s="1" customFormat="1" ht="12.75" customHeight="1" x14ac:dyDescent="0.25">
      <c r="A118" s="144"/>
      <c r="B118" s="144"/>
      <c r="C118" s="98"/>
      <c r="D118" s="98"/>
      <c r="E118" s="99"/>
      <c r="F118" s="100"/>
      <c r="G118" s="101"/>
      <c r="H118" s="102"/>
      <c r="I118" s="100"/>
      <c r="J118" s="101"/>
      <c r="K118" s="103"/>
      <c r="L118" s="103"/>
      <c r="M118" s="103"/>
      <c r="N118" s="104"/>
      <c r="AY118" s="29"/>
      <c r="BP118" s="26"/>
      <c r="BQ118" s="77"/>
      <c r="BR118" s="77"/>
      <c r="BS118" s="77"/>
      <c r="BT118" s="77"/>
      <c r="BU118" s="77"/>
      <c r="BV118" s="77"/>
      <c r="BW118" s="77"/>
      <c r="BX118" s="77"/>
      <c r="BY118" s="77"/>
      <c r="BZ118" s="32"/>
      <c r="CA118" s="32"/>
      <c r="CB118" s="32"/>
      <c r="CC118" s="32"/>
      <c r="CD118" s="32"/>
      <c r="CE118" s="32"/>
      <c r="CF118" s="32"/>
      <c r="CG118" s="32"/>
      <c r="CH118" s="32"/>
      <c r="CI118" s="32"/>
      <c r="CJ118" s="32"/>
    </row>
    <row r="119" spans="1:88" s="1" customFormat="1" ht="12.75" customHeight="1" x14ac:dyDescent="0.25">
      <c r="A119" s="144">
        <f>(A27)</f>
        <v>24</v>
      </c>
      <c r="B119" s="144" t="str">
        <f>T(B27)</f>
        <v/>
      </c>
      <c r="C119" s="104"/>
      <c r="D119" s="104"/>
      <c r="E119" s="102"/>
      <c r="F119" s="100"/>
      <c r="G119" s="101"/>
      <c r="H119" s="102"/>
      <c r="I119" s="100"/>
      <c r="J119" s="101"/>
      <c r="K119" s="103"/>
      <c r="L119" s="103"/>
      <c r="M119" s="103"/>
      <c r="N119" s="104"/>
      <c r="AY119" s="29"/>
      <c r="BP119" s="26"/>
      <c r="BQ119" s="77"/>
      <c r="BR119" s="77"/>
      <c r="BS119" s="77"/>
      <c r="BT119" s="77"/>
      <c r="BU119" s="77"/>
      <c r="BV119" s="77"/>
      <c r="BW119" s="77"/>
      <c r="BX119" s="77"/>
      <c r="BY119" s="77"/>
      <c r="BZ119" s="32"/>
      <c r="CA119" s="32"/>
      <c r="CB119" s="32"/>
      <c r="CC119" s="32"/>
      <c r="CD119" s="32"/>
      <c r="CE119" s="32"/>
      <c r="CF119" s="32"/>
      <c r="CG119" s="32"/>
      <c r="CH119" s="32"/>
      <c r="CI119" s="32"/>
      <c r="CJ119" s="32"/>
    </row>
    <row r="120" spans="1:88" s="1" customFormat="1" ht="12.75" customHeight="1" x14ac:dyDescent="0.25">
      <c r="A120" s="144"/>
      <c r="B120" s="144"/>
      <c r="C120" s="104"/>
      <c r="D120" s="104"/>
      <c r="E120" s="102"/>
      <c r="F120" s="100"/>
      <c r="G120" s="101"/>
      <c r="H120" s="102"/>
      <c r="I120" s="100"/>
      <c r="J120" s="101"/>
      <c r="K120" s="103"/>
      <c r="L120" s="103"/>
      <c r="M120" s="103"/>
      <c r="N120" s="104"/>
      <c r="AY120" s="29"/>
      <c r="BP120" s="26"/>
      <c r="BQ120" s="77"/>
      <c r="BR120" s="77"/>
      <c r="BS120" s="77"/>
      <c r="BT120" s="77"/>
      <c r="BU120" s="77"/>
      <c r="BV120" s="77"/>
      <c r="BW120" s="77"/>
      <c r="BX120" s="77"/>
      <c r="BY120" s="77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</row>
    <row r="121" spans="1:88" s="1" customFormat="1" ht="12.75" customHeight="1" x14ac:dyDescent="0.25">
      <c r="A121" s="144"/>
      <c r="B121" s="144"/>
      <c r="C121" s="104"/>
      <c r="D121" s="104"/>
      <c r="E121" s="102"/>
      <c r="F121" s="100"/>
      <c r="G121" s="101"/>
      <c r="H121" s="102"/>
      <c r="I121" s="100"/>
      <c r="J121" s="101"/>
      <c r="K121" s="103"/>
      <c r="L121" s="103"/>
      <c r="M121" s="103"/>
      <c r="N121" s="104"/>
      <c r="AY121" s="29"/>
      <c r="BP121" s="26"/>
      <c r="BQ121" s="77"/>
      <c r="BR121" s="77"/>
      <c r="BS121" s="77"/>
      <c r="BT121" s="77"/>
      <c r="BU121" s="77"/>
      <c r="BV121" s="77"/>
      <c r="BW121" s="77"/>
      <c r="BX121" s="77"/>
      <c r="BY121" s="77"/>
      <c r="BZ121" s="32"/>
      <c r="CA121" s="32"/>
      <c r="CB121" s="32"/>
      <c r="CC121" s="32"/>
      <c r="CD121" s="32"/>
      <c r="CE121" s="32"/>
      <c r="CF121" s="32"/>
      <c r="CG121" s="32"/>
      <c r="CH121" s="32"/>
      <c r="CI121" s="32"/>
      <c r="CJ121" s="32"/>
    </row>
    <row r="122" spans="1:88" s="1" customFormat="1" ht="12.75" customHeight="1" x14ac:dyDescent="0.25">
      <c r="A122" s="144">
        <f>(A28)</f>
        <v>25</v>
      </c>
      <c r="B122" s="144" t="str">
        <f>T(B28)</f>
        <v/>
      </c>
      <c r="C122" s="104"/>
      <c r="D122" s="104"/>
      <c r="E122" s="102"/>
      <c r="F122" s="100"/>
      <c r="G122" s="101"/>
      <c r="H122" s="102"/>
      <c r="I122" s="100"/>
      <c r="J122" s="101"/>
      <c r="K122" s="103"/>
      <c r="L122" s="103"/>
      <c r="M122" s="103"/>
      <c r="N122" s="104"/>
      <c r="AY122" s="29"/>
      <c r="BP122" s="26"/>
      <c r="BQ122" s="77"/>
      <c r="BR122" s="77"/>
      <c r="BS122" s="77"/>
      <c r="BT122" s="77"/>
      <c r="BU122" s="77"/>
      <c r="BV122" s="77"/>
      <c r="BW122" s="77"/>
      <c r="BX122" s="77"/>
      <c r="BY122" s="77"/>
      <c r="BZ122" s="32"/>
      <c r="CA122" s="32"/>
      <c r="CB122" s="32"/>
      <c r="CC122" s="32"/>
      <c r="CD122" s="32"/>
      <c r="CE122" s="32"/>
      <c r="CF122" s="32"/>
      <c r="CG122" s="32"/>
      <c r="CH122" s="32"/>
      <c r="CI122" s="32"/>
      <c r="CJ122" s="32"/>
    </row>
    <row r="123" spans="1:88" s="1" customFormat="1" ht="12.75" customHeight="1" x14ac:dyDescent="0.25">
      <c r="A123" s="144"/>
      <c r="B123" s="144"/>
      <c r="C123" s="104"/>
      <c r="D123" s="104"/>
      <c r="E123" s="102"/>
      <c r="F123" s="100"/>
      <c r="G123" s="101"/>
      <c r="H123" s="102"/>
      <c r="I123" s="100"/>
      <c r="J123" s="101"/>
      <c r="K123" s="103"/>
      <c r="L123" s="103"/>
      <c r="M123" s="103"/>
      <c r="N123" s="104"/>
      <c r="AY123" s="29"/>
      <c r="BP123" s="26"/>
      <c r="BQ123" s="77"/>
      <c r="BR123" s="77"/>
      <c r="BS123" s="77"/>
      <c r="BT123" s="77"/>
      <c r="BU123" s="77"/>
      <c r="BV123" s="77"/>
      <c r="BW123" s="77"/>
      <c r="BX123" s="77"/>
      <c r="BY123" s="77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</row>
    <row r="124" spans="1:88" s="1" customFormat="1" ht="12.75" customHeight="1" x14ac:dyDescent="0.25">
      <c r="A124" s="144"/>
      <c r="B124" s="144"/>
      <c r="C124" s="104"/>
      <c r="D124" s="104"/>
      <c r="E124" s="102"/>
      <c r="F124" s="100"/>
      <c r="G124" s="101"/>
      <c r="H124" s="102"/>
      <c r="I124" s="100"/>
      <c r="J124" s="101"/>
      <c r="K124" s="103"/>
      <c r="L124" s="103"/>
      <c r="M124" s="103"/>
      <c r="N124" s="104"/>
      <c r="AY124" s="29"/>
      <c r="BP124" s="26"/>
      <c r="BQ124" s="77"/>
      <c r="BR124" s="77"/>
      <c r="BS124" s="77"/>
      <c r="BT124" s="77"/>
      <c r="BU124" s="77"/>
      <c r="BV124" s="77"/>
      <c r="BW124" s="77"/>
      <c r="BX124" s="77"/>
      <c r="BY124" s="77"/>
      <c r="BZ124" s="32"/>
      <c r="CA124" s="32"/>
      <c r="CB124" s="32"/>
      <c r="CC124" s="32"/>
      <c r="CD124" s="32"/>
      <c r="CE124" s="32"/>
      <c r="CF124" s="32"/>
      <c r="CG124" s="32"/>
      <c r="CH124" s="32"/>
      <c r="CI124" s="32"/>
      <c r="CJ124" s="32"/>
    </row>
    <row r="125" spans="1:88" s="1" customFormat="1" ht="12.75" customHeight="1" x14ac:dyDescent="0.25">
      <c r="A125" s="144">
        <f>(A29)</f>
        <v>26</v>
      </c>
      <c r="B125" s="144" t="str">
        <f>T(B29)</f>
        <v/>
      </c>
      <c r="C125" s="104"/>
      <c r="D125" s="104"/>
      <c r="E125" s="102"/>
      <c r="F125" s="100"/>
      <c r="G125" s="101"/>
      <c r="H125" s="102"/>
      <c r="I125" s="100"/>
      <c r="J125" s="101"/>
      <c r="K125" s="103"/>
      <c r="L125" s="103"/>
      <c r="M125" s="103"/>
      <c r="N125" s="104"/>
      <c r="AY125" s="29"/>
      <c r="BP125" s="26"/>
      <c r="BQ125" s="77"/>
      <c r="BR125" s="77"/>
      <c r="BS125" s="77"/>
      <c r="BT125" s="77"/>
      <c r="BU125" s="77"/>
      <c r="BV125" s="77"/>
      <c r="BW125" s="77"/>
      <c r="BX125" s="77"/>
      <c r="BY125" s="77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</row>
    <row r="126" spans="1:88" s="1" customFormat="1" ht="12.75" customHeight="1" x14ac:dyDescent="0.25">
      <c r="A126" s="144"/>
      <c r="B126" s="144"/>
      <c r="C126" s="104"/>
      <c r="D126" s="104"/>
      <c r="E126" s="102"/>
      <c r="F126" s="100"/>
      <c r="G126" s="101"/>
      <c r="H126" s="102"/>
      <c r="I126" s="100"/>
      <c r="J126" s="101"/>
      <c r="K126" s="103"/>
      <c r="L126" s="103"/>
      <c r="M126" s="103"/>
      <c r="N126" s="104"/>
      <c r="AY126" s="29"/>
      <c r="BP126" s="26"/>
      <c r="BQ126" s="77"/>
      <c r="BR126" s="77"/>
      <c r="BS126" s="77"/>
      <c r="BT126" s="77"/>
      <c r="BU126" s="77"/>
      <c r="BV126" s="77"/>
      <c r="BW126" s="77"/>
      <c r="BX126" s="77"/>
      <c r="BY126" s="77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</row>
    <row r="127" spans="1:88" s="1" customFormat="1" ht="12.75" customHeight="1" x14ac:dyDescent="0.25">
      <c r="A127" s="144"/>
      <c r="B127" s="144"/>
      <c r="C127" s="104"/>
      <c r="D127" s="104"/>
      <c r="E127" s="102"/>
      <c r="F127" s="100"/>
      <c r="G127" s="101"/>
      <c r="H127" s="102"/>
      <c r="I127" s="100"/>
      <c r="J127" s="101"/>
      <c r="K127" s="103"/>
      <c r="L127" s="103"/>
      <c r="M127" s="103"/>
      <c r="N127" s="104"/>
      <c r="AY127" s="29"/>
      <c r="BP127" s="26"/>
      <c r="BQ127" s="77"/>
      <c r="BR127" s="77"/>
      <c r="BS127" s="77"/>
      <c r="BT127" s="77"/>
      <c r="BU127" s="77"/>
      <c r="BV127" s="77"/>
      <c r="BW127" s="77"/>
      <c r="BX127" s="77"/>
      <c r="BY127" s="77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</row>
    <row r="128" spans="1:88" s="1" customFormat="1" ht="12.75" customHeight="1" x14ac:dyDescent="0.25">
      <c r="A128" s="144">
        <f>(A30)</f>
        <v>27</v>
      </c>
      <c r="B128" s="144" t="str">
        <f>T(B30)</f>
        <v/>
      </c>
      <c r="C128" s="104"/>
      <c r="D128" s="104"/>
      <c r="E128" s="102"/>
      <c r="F128" s="100"/>
      <c r="G128" s="101"/>
      <c r="H128" s="102"/>
      <c r="I128" s="100"/>
      <c r="J128" s="101"/>
      <c r="K128" s="103"/>
      <c r="L128" s="103"/>
      <c r="M128" s="103"/>
      <c r="N128" s="104"/>
      <c r="AY128" s="29"/>
      <c r="BP128" s="26"/>
      <c r="BQ128" s="77"/>
      <c r="BR128" s="77"/>
      <c r="BS128" s="77"/>
      <c r="BT128" s="77"/>
      <c r="BU128" s="77"/>
      <c r="BV128" s="77"/>
      <c r="BW128" s="77"/>
      <c r="BX128" s="77"/>
      <c r="BY128" s="77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</row>
    <row r="129" spans="1:88" s="1" customFormat="1" ht="12.75" customHeight="1" x14ac:dyDescent="0.25">
      <c r="A129" s="144"/>
      <c r="B129" s="144"/>
      <c r="C129" s="104"/>
      <c r="D129" s="104"/>
      <c r="E129" s="102"/>
      <c r="F129" s="100"/>
      <c r="G129" s="101"/>
      <c r="H129" s="102"/>
      <c r="I129" s="100"/>
      <c r="J129" s="101"/>
      <c r="K129" s="103"/>
      <c r="L129" s="103"/>
      <c r="M129" s="103"/>
      <c r="N129" s="104"/>
      <c r="AY129" s="29"/>
      <c r="BP129" s="26"/>
      <c r="BQ129" s="77"/>
      <c r="BR129" s="77"/>
      <c r="BS129" s="77"/>
      <c r="BT129" s="77"/>
      <c r="BU129" s="77"/>
      <c r="BV129" s="77"/>
      <c r="BW129" s="77"/>
      <c r="BX129" s="77"/>
      <c r="BY129" s="77"/>
      <c r="BZ129" s="32"/>
      <c r="CA129" s="32"/>
      <c r="CB129" s="32"/>
      <c r="CC129" s="32"/>
      <c r="CD129" s="32"/>
      <c r="CE129" s="32"/>
      <c r="CF129" s="32"/>
      <c r="CG129" s="32"/>
      <c r="CH129" s="32"/>
      <c r="CI129" s="32"/>
      <c r="CJ129" s="32"/>
    </row>
    <row r="130" spans="1:88" s="1" customFormat="1" ht="12.75" customHeight="1" x14ac:dyDescent="0.25">
      <c r="A130" s="144"/>
      <c r="B130" s="144"/>
      <c r="C130" s="104"/>
      <c r="D130" s="104"/>
      <c r="E130" s="102"/>
      <c r="F130" s="100"/>
      <c r="G130" s="101"/>
      <c r="H130" s="102"/>
      <c r="I130" s="100"/>
      <c r="J130" s="101"/>
      <c r="K130" s="103"/>
      <c r="L130" s="103"/>
      <c r="M130" s="103"/>
      <c r="N130" s="104"/>
      <c r="AY130" s="29"/>
      <c r="BP130" s="26"/>
      <c r="BQ130" s="77"/>
      <c r="BR130" s="77"/>
      <c r="BS130" s="77"/>
      <c r="BT130" s="77"/>
      <c r="BU130" s="77"/>
      <c r="BV130" s="77"/>
      <c r="BW130" s="77"/>
      <c r="BX130" s="77"/>
      <c r="BY130" s="77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</row>
    <row r="131" spans="1:88" s="1" customFormat="1" ht="12.75" customHeight="1" x14ac:dyDescent="0.25">
      <c r="A131" s="144">
        <f>(A31)</f>
        <v>28</v>
      </c>
      <c r="B131" s="144" t="str">
        <f>T(B31)</f>
        <v/>
      </c>
      <c r="C131" s="104"/>
      <c r="D131" s="104"/>
      <c r="E131" s="102"/>
      <c r="F131" s="100"/>
      <c r="G131" s="101"/>
      <c r="H131" s="102"/>
      <c r="I131" s="100"/>
      <c r="J131" s="101"/>
      <c r="K131" s="103"/>
      <c r="L131" s="103"/>
      <c r="M131" s="103"/>
      <c r="N131" s="104"/>
      <c r="AY131" s="29"/>
      <c r="BP131" s="26"/>
      <c r="BQ131" s="77"/>
      <c r="BR131" s="77"/>
      <c r="BS131" s="77"/>
      <c r="BT131" s="77"/>
      <c r="BU131" s="77"/>
      <c r="BV131" s="77"/>
      <c r="BW131" s="77"/>
      <c r="BX131" s="77"/>
      <c r="BY131" s="77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</row>
    <row r="132" spans="1:88" s="1" customFormat="1" ht="12.75" customHeight="1" x14ac:dyDescent="0.25">
      <c r="A132" s="144"/>
      <c r="B132" s="144"/>
      <c r="C132" s="104"/>
      <c r="D132" s="104"/>
      <c r="E132" s="102"/>
      <c r="F132" s="100"/>
      <c r="G132" s="101"/>
      <c r="H132" s="102"/>
      <c r="I132" s="100"/>
      <c r="J132" s="101"/>
      <c r="K132" s="103"/>
      <c r="L132" s="103"/>
      <c r="M132" s="103"/>
      <c r="N132" s="104"/>
      <c r="AY132" s="29"/>
      <c r="BP132" s="26"/>
      <c r="BQ132" s="77"/>
      <c r="BR132" s="77"/>
      <c r="BS132" s="77"/>
      <c r="BT132" s="77"/>
      <c r="BU132" s="77"/>
      <c r="BV132" s="77"/>
      <c r="BW132" s="77"/>
      <c r="BX132" s="77"/>
      <c r="BY132" s="77"/>
      <c r="BZ132" s="32"/>
      <c r="CA132" s="32"/>
      <c r="CB132" s="32"/>
      <c r="CC132" s="32"/>
      <c r="CD132" s="32"/>
      <c r="CE132" s="32"/>
      <c r="CF132" s="32"/>
      <c r="CG132" s="32"/>
      <c r="CH132" s="32"/>
      <c r="CI132" s="32"/>
      <c r="CJ132" s="32"/>
    </row>
    <row r="133" spans="1:88" s="1" customFormat="1" ht="12.75" customHeight="1" x14ac:dyDescent="0.25">
      <c r="A133" s="144"/>
      <c r="B133" s="144"/>
      <c r="C133" s="104"/>
      <c r="D133" s="104"/>
      <c r="E133" s="102"/>
      <c r="F133" s="100"/>
      <c r="G133" s="101"/>
      <c r="H133" s="102"/>
      <c r="I133" s="100"/>
      <c r="J133" s="101"/>
      <c r="K133" s="103"/>
      <c r="L133" s="103"/>
      <c r="M133" s="103"/>
      <c r="N133" s="104"/>
      <c r="AY133" s="29"/>
      <c r="BP133" s="26"/>
      <c r="BQ133" s="77"/>
      <c r="BR133" s="77"/>
      <c r="BS133" s="77"/>
      <c r="BT133" s="77"/>
      <c r="BU133" s="77"/>
      <c r="BV133" s="77"/>
      <c r="BW133" s="77"/>
      <c r="BX133" s="77"/>
      <c r="BY133" s="77"/>
      <c r="BZ133" s="32"/>
      <c r="CA133" s="32"/>
      <c r="CB133" s="32"/>
      <c r="CC133" s="32"/>
      <c r="CD133" s="32"/>
      <c r="CE133" s="32"/>
      <c r="CF133" s="32"/>
      <c r="CG133" s="32"/>
      <c r="CH133" s="32"/>
      <c r="CI133" s="32"/>
      <c r="CJ133" s="32"/>
    </row>
    <row r="134" spans="1:88" s="1" customFormat="1" ht="12.75" customHeight="1" x14ac:dyDescent="0.25">
      <c r="A134" s="144">
        <f>(A32)</f>
        <v>29</v>
      </c>
      <c r="B134" s="144" t="str">
        <f>T(B32)</f>
        <v/>
      </c>
      <c r="C134" s="104"/>
      <c r="D134" s="104"/>
      <c r="E134" s="102"/>
      <c r="F134" s="100"/>
      <c r="G134" s="101"/>
      <c r="H134" s="102"/>
      <c r="I134" s="100"/>
      <c r="J134" s="101"/>
      <c r="K134" s="103"/>
      <c r="L134" s="103"/>
      <c r="M134" s="103"/>
      <c r="N134" s="104"/>
      <c r="AY134" s="29"/>
      <c r="BP134" s="26"/>
      <c r="BQ134" s="77"/>
      <c r="BR134" s="77"/>
      <c r="BS134" s="77"/>
      <c r="BT134" s="77"/>
      <c r="BU134" s="77"/>
      <c r="BV134" s="77"/>
      <c r="BW134" s="77"/>
      <c r="BX134" s="77"/>
      <c r="BY134" s="77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</row>
    <row r="135" spans="1:88" s="1" customFormat="1" ht="12.75" customHeight="1" x14ac:dyDescent="0.25">
      <c r="A135" s="144"/>
      <c r="B135" s="144"/>
      <c r="C135" s="104"/>
      <c r="D135" s="104"/>
      <c r="E135" s="102"/>
      <c r="F135" s="100"/>
      <c r="G135" s="101"/>
      <c r="H135" s="102"/>
      <c r="I135" s="100"/>
      <c r="J135" s="101"/>
      <c r="K135" s="103"/>
      <c r="L135" s="103"/>
      <c r="M135" s="103"/>
      <c r="N135" s="104"/>
      <c r="AY135" s="29"/>
      <c r="BP135" s="26"/>
      <c r="BQ135" s="77"/>
      <c r="BR135" s="77"/>
      <c r="BS135" s="77"/>
      <c r="BT135" s="77"/>
      <c r="BU135" s="77"/>
      <c r="BV135" s="77"/>
      <c r="BW135" s="77"/>
      <c r="BX135" s="77"/>
      <c r="BY135" s="77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</row>
    <row r="136" spans="1:88" s="1" customFormat="1" ht="12.75" customHeight="1" x14ac:dyDescent="0.25">
      <c r="A136" s="144"/>
      <c r="B136" s="144"/>
      <c r="C136" s="104"/>
      <c r="D136" s="104"/>
      <c r="E136" s="102"/>
      <c r="F136" s="100"/>
      <c r="G136" s="101"/>
      <c r="H136" s="102"/>
      <c r="I136" s="100"/>
      <c r="J136" s="101"/>
      <c r="K136" s="103"/>
      <c r="L136" s="103"/>
      <c r="M136" s="103"/>
      <c r="N136" s="104"/>
      <c r="AY136" s="29"/>
      <c r="BP136" s="26"/>
      <c r="BQ136" s="77"/>
      <c r="BR136" s="77"/>
      <c r="BS136" s="77"/>
      <c r="BT136" s="77"/>
      <c r="BU136" s="77"/>
      <c r="BV136" s="77"/>
      <c r="BW136" s="77"/>
      <c r="BX136" s="77"/>
      <c r="BY136" s="77"/>
      <c r="BZ136" s="32"/>
      <c r="CA136" s="32"/>
      <c r="CB136" s="32"/>
      <c r="CC136" s="32"/>
      <c r="CD136" s="32"/>
      <c r="CE136" s="32"/>
      <c r="CF136" s="32"/>
      <c r="CG136" s="32"/>
      <c r="CH136" s="32"/>
      <c r="CI136" s="32"/>
      <c r="CJ136" s="32"/>
    </row>
    <row r="137" spans="1:88" s="1" customFormat="1" ht="12.75" customHeight="1" x14ac:dyDescent="0.25">
      <c r="A137" s="144">
        <f>(A33)</f>
        <v>30</v>
      </c>
      <c r="B137" s="144" t="str">
        <f>T(B33)</f>
        <v/>
      </c>
      <c r="C137" s="104"/>
      <c r="D137" s="104"/>
      <c r="E137" s="102"/>
      <c r="F137" s="100"/>
      <c r="G137" s="101"/>
      <c r="H137" s="102"/>
      <c r="I137" s="100"/>
      <c r="J137" s="101"/>
      <c r="K137" s="103"/>
      <c r="L137" s="103"/>
      <c r="M137" s="103"/>
      <c r="N137" s="104"/>
      <c r="AY137" s="29"/>
      <c r="BP137" s="26"/>
      <c r="BQ137" s="77"/>
      <c r="BR137" s="77"/>
      <c r="BS137" s="77"/>
      <c r="BT137" s="77"/>
      <c r="BU137" s="77"/>
      <c r="BV137" s="77"/>
      <c r="BW137" s="77"/>
      <c r="BX137" s="77"/>
      <c r="BY137" s="77"/>
      <c r="BZ137" s="32"/>
      <c r="CA137" s="32"/>
      <c r="CB137" s="32"/>
      <c r="CC137" s="32"/>
      <c r="CD137" s="32"/>
      <c r="CE137" s="32"/>
      <c r="CF137" s="32"/>
      <c r="CG137" s="32"/>
      <c r="CH137" s="32"/>
      <c r="CI137" s="32"/>
      <c r="CJ137" s="32"/>
    </row>
    <row r="138" spans="1:88" s="1" customFormat="1" ht="12.75" customHeight="1" x14ac:dyDescent="0.25">
      <c r="A138" s="144"/>
      <c r="B138" s="144"/>
      <c r="C138" s="104"/>
      <c r="D138" s="104"/>
      <c r="E138" s="102"/>
      <c r="F138" s="100"/>
      <c r="G138" s="101"/>
      <c r="H138" s="102"/>
      <c r="I138" s="100"/>
      <c r="J138" s="101"/>
      <c r="K138" s="103"/>
      <c r="L138" s="103"/>
      <c r="M138" s="103"/>
      <c r="N138" s="104"/>
      <c r="AY138" s="29"/>
      <c r="BP138" s="26"/>
      <c r="BQ138" s="77"/>
      <c r="BR138" s="77"/>
      <c r="BS138" s="77"/>
      <c r="BT138" s="77"/>
      <c r="BU138" s="77"/>
      <c r="BV138" s="77"/>
      <c r="BW138" s="77"/>
      <c r="BX138" s="77"/>
      <c r="BY138" s="77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</row>
    <row r="139" spans="1:88" s="1" customFormat="1" ht="12.75" customHeight="1" x14ac:dyDescent="0.25">
      <c r="A139" s="144"/>
      <c r="B139" s="144"/>
      <c r="C139" s="104"/>
      <c r="D139" s="104"/>
      <c r="E139" s="102"/>
      <c r="F139" s="100"/>
      <c r="G139" s="101"/>
      <c r="H139" s="102"/>
      <c r="I139" s="100"/>
      <c r="J139" s="101"/>
      <c r="K139" s="103"/>
      <c r="L139" s="103"/>
      <c r="M139" s="103"/>
      <c r="N139" s="104"/>
      <c r="AY139" s="29"/>
      <c r="BP139" s="26"/>
      <c r="BQ139" s="77"/>
      <c r="BR139" s="77"/>
      <c r="BS139" s="77"/>
      <c r="BT139" s="77"/>
      <c r="BU139" s="77"/>
      <c r="BV139" s="77"/>
      <c r="BW139" s="77"/>
      <c r="BX139" s="77"/>
      <c r="BY139" s="77"/>
      <c r="BZ139" s="32"/>
      <c r="CA139" s="32"/>
      <c r="CB139" s="32"/>
      <c r="CC139" s="32"/>
      <c r="CD139" s="32"/>
      <c r="CE139" s="32"/>
      <c r="CF139" s="32"/>
      <c r="CG139" s="32"/>
      <c r="CH139" s="32"/>
      <c r="CI139" s="32"/>
      <c r="CJ139" s="32"/>
    </row>
    <row r="140" spans="1:88" s="1" customFormat="1" ht="12.75" customHeight="1" x14ac:dyDescent="0.25">
      <c r="A140" s="144">
        <f>(A34)</f>
        <v>31</v>
      </c>
      <c r="B140" s="144" t="str">
        <f>T(B34)</f>
        <v/>
      </c>
      <c r="C140" s="104"/>
      <c r="D140" s="104"/>
      <c r="E140" s="102"/>
      <c r="F140" s="100"/>
      <c r="G140" s="101"/>
      <c r="H140" s="102"/>
      <c r="I140" s="100"/>
      <c r="J140" s="101"/>
      <c r="K140" s="103"/>
      <c r="L140" s="103"/>
      <c r="M140" s="103"/>
      <c r="N140" s="104"/>
      <c r="AY140" s="29"/>
      <c r="BP140" s="26"/>
      <c r="BQ140" s="77"/>
      <c r="BR140" s="77"/>
      <c r="BS140" s="77"/>
      <c r="BT140" s="77"/>
      <c r="BU140" s="77"/>
      <c r="BV140" s="77"/>
      <c r="BW140" s="77"/>
      <c r="BX140" s="77"/>
      <c r="BY140" s="77"/>
      <c r="BZ140" s="32"/>
      <c r="CA140" s="32"/>
      <c r="CB140" s="32"/>
      <c r="CC140" s="32"/>
      <c r="CD140" s="32"/>
      <c r="CE140" s="32"/>
      <c r="CF140" s="32"/>
      <c r="CG140" s="32"/>
      <c r="CH140" s="32"/>
      <c r="CI140" s="32"/>
      <c r="CJ140" s="32"/>
    </row>
    <row r="141" spans="1:88" s="1" customFormat="1" ht="12.75" customHeight="1" x14ac:dyDescent="0.25">
      <c r="A141" s="144"/>
      <c r="B141" s="144"/>
      <c r="C141" s="104"/>
      <c r="D141" s="104"/>
      <c r="E141" s="102"/>
      <c r="F141" s="100"/>
      <c r="G141" s="101"/>
      <c r="H141" s="102"/>
      <c r="I141" s="100"/>
      <c r="J141" s="101"/>
      <c r="K141" s="103"/>
      <c r="L141" s="103"/>
      <c r="M141" s="103"/>
      <c r="N141" s="104"/>
      <c r="AY141" s="29"/>
      <c r="BP141" s="26"/>
      <c r="BQ141" s="77"/>
      <c r="BR141" s="77"/>
      <c r="BS141" s="77"/>
      <c r="BT141" s="77"/>
      <c r="BU141" s="77"/>
      <c r="BV141" s="77"/>
      <c r="BW141" s="77"/>
      <c r="BX141" s="77"/>
      <c r="BY141" s="77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</row>
    <row r="142" spans="1:88" s="1" customFormat="1" ht="12.75" customHeight="1" x14ac:dyDescent="0.25">
      <c r="A142" s="144"/>
      <c r="B142" s="144"/>
      <c r="C142" s="104"/>
      <c r="D142" s="104"/>
      <c r="E142" s="102"/>
      <c r="F142" s="100"/>
      <c r="G142" s="101"/>
      <c r="H142" s="102"/>
      <c r="I142" s="100"/>
      <c r="J142" s="101"/>
      <c r="K142" s="103"/>
      <c r="L142" s="103"/>
      <c r="M142" s="103"/>
      <c r="N142" s="104"/>
      <c r="AY142" s="29"/>
      <c r="BP142" s="26"/>
      <c r="BQ142" s="77"/>
      <c r="BR142" s="77"/>
      <c r="BS142" s="77"/>
      <c r="BT142" s="77"/>
      <c r="BU142" s="77"/>
      <c r="BV142" s="77"/>
      <c r="BW142" s="77"/>
      <c r="BX142" s="77"/>
      <c r="BY142" s="77"/>
      <c r="BZ142" s="32"/>
      <c r="CA142" s="32"/>
      <c r="CB142" s="32"/>
      <c r="CC142" s="32"/>
      <c r="CD142" s="32"/>
      <c r="CE142" s="32"/>
      <c r="CF142" s="32"/>
      <c r="CG142" s="32"/>
      <c r="CH142" s="32"/>
      <c r="CI142" s="32"/>
      <c r="CJ142" s="32"/>
    </row>
    <row r="143" spans="1:88" s="1" customFormat="1" ht="12.75" customHeight="1" x14ac:dyDescent="0.25">
      <c r="A143" s="144">
        <f>(A35)</f>
        <v>32</v>
      </c>
      <c r="B143" s="144" t="str">
        <f>T(B35)</f>
        <v/>
      </c>
      <c r="C143" s="104"/>
      <c r="D143" s="104"/>
      <c r="E143" s="102"/>
      <c r="F143" s="100"/>
      <c r="G143" s="101"/>
      <c r="H143" s="102"/>
      <c r="I143" s="100"/>
      <c r="J143" s="101"/>
      <c r="K143" s="103"/>
      <c r="L143" s="103"/>
      <c r="M143" s="103"/>
      <c r="N143" s="104"/>
      <c r="AY143" s="29"/>
      <c r="BP143" s="26"/>
      <c r="BQ143" s="77"/>
      <c r="BR143" s="77"/>
      <c r="BS143" s="77"/>
      <c r="BT143" s="77"/>
      <c r="BU143" s="77"/>
      <c r="BV143" s="77"/>
      <c r="BW143" s="77"/>
      <c r="BX143" s="77"/>
      <c r="BY143" s="77"/>
      <c r="BZ143" s="32"/>
      <c r="CA143" s="32"/>
      <c r="CB143" s="32"/>
      <c r="CC143" s="32"/>
      <c r="CD143" s="32"/>
      <c r="CE143" s="32"/>
      <c r="CF143" s="32"/>
      <c r="CG143" s="32"/>
      <c r="CH143" s="32"/>
      <c r="CI143" s="32"/>
      <c r="CJ143" s="32"/>
    </row>
    <row r="144" spans="1:88" s="1" customFormat="1" ht="12.75" customHeight="1" x14ac:dyDescent="0.25">
      <c r="A144" s="144"/>
      <c r="B144" s="144"/>
      <c r="C144" s="104"/>
      <c r="D144" s="104"/>
      <c r="E144" s="102"/>
      <c r="F144" s="100"/>
      <c r="G144" s="101"/>
      <c r="H144" s="102"/>
      <c r="I144" s="100"/>
      <c r="J144" s="101"/>
      <c r="K144" s="103"/>
      <c r="L144" s="103"/>
      <c r="M144" s="103"/>
      <c r="N144" s="104"/>
      <c r="AY144" s="29"/>
      <c r="BP144" s="26"/>
      <c r="BQ144" s="77"/>
      <c r="BR144" s="77"/>
      <c r="BS144" s="77"/>
      <c r="BT144" s="77"/>
      <c r="BU144" s="77"/>
      <c r="BV144" s="77"/>
      <c r="BW144" s="77"/>
      <c r="BX144" s="77"/>
      <c r="BY144" s="77"/>
      <c r="BZ144" s="32"/>
      <c r="CA144" s="32"/>
      <c r="CB144" s="32"/>
      <c r="CC144" s="32"/>
      <c r="CD144" s="32"/>
      <c r="CE144" s="32"/>
      <c r="CF144" s="32"/>
      <c r="CG144" s="32"/>
      <c r="CH144" s="32"/>
      <c r="CI144" s="32"/>
      <c r="CJ144" s="32"/>
    </row>
    <row r="145" spans="1:88" s="1" customFormat="1" ht="12.75" customHeight="1" x14ac:dyDescent="0.25">
      <c r="A145" s="144"/>
      <c r="B145" s="144"/>
      <c r="C145" s="104"/>
      <c r="D145" s="104"/>
      <c r="E145" s="102"/>
      <c r="F145" s="100"/>
      <c r="G145" s="101"/>
      <c r="H145" s="102"/>
      <c r="I145" s="100"/>
      <c r="J145" s="101"/>
      <c r="K145" s="103"/>
      <c r="L145" s="103"/>
      <c r="M145" s="103"/>
      <c r="N145" s="104"/>
      <c r="AY145" s="29"/>
      <c r="BP145" s="26"/>
      <c r="BQ145" s="77"/>
      <c r="BR145" s="77"/>
      <c r="BS145" s="77"/>
      <c r="BT145" s="77"/>
      <c r="BU145" s="77"/>
      <c r="BV145" s="77"/>
      <c r="BW145" s="77"/>
      <c r="BX145" s="77"/>
      <c r="BY145" s="77"/>
      <c r="BZ145" s="32"/>
      <c r="CA145" s="32"/>
      <c r="CB145" s="32"/>
      <c r="CC145" s="32"/>
      <c r="CD145" s="32"/>
      <c r="CE145" s="32"/>
      <c r="CF145" s="32"/>
      <c r="CG145" s="32"/>
      <c r="CH145" s="32"/>
      <c r="CI145" s="32"/>
      <c r="CJ145" s="32"/>
    </row>
    <row r="146" spans="1:88" s="1" customFormat="1" ht="12.75" customHeight="1" x14ac:dyDescent="0.25">
      <c r="A146" s="144">
        <f>(A36)</f>
        <v>33</v>
      </c>
      <c r="B146" s="144" t="str">
        <f>T(B36)</f>
        <v/>
      </c>
      <c r="C146" s="104"/>
      <c r="D146" s="104"/>
      <c r="E146" s="102"/>
      <c r="F146" s="100"/>
      <c r="G146" s="101"/>
      <c r="H146" s="102"/>
      <c r="I146" s="100"/>
      <c r="J146" s="101"/>
      <c r="K146" s="103"/>
      <c r="L146" s="103"/>
      <c r="M146" s="103"/>
      <c r="N146" s="104"/>
      <c r="AY146" s="29"/>
      <c r="BP146" s="26"/>
      <c r="BQ146" s="77"/>
      <c r="BR146" s="77"/>
      <c r="BS146" s="77"/>
      <c r="BT146" s="77"/>
      <c r="BU146" s="77"/>
      <c r="BV146" s="77"/>
      <c r="BW146" s="77"/>
      <c r="BX146" s="77"/>
      <c r="BY146" s="77"/>
      <c r="BZ146" s="32"/>
      <c r="CA146" s="32"/>
      <c r="CB146" s="32"/>
      <c r="CC146" s="32"/>
      <c r="CD146" s="32"/>
      <c r="CE146" s="32"/>
      <c r="CF146" s="32"/>
      <c r="CG146" s="32"/>
      <c r="CH146" s="32"/>
      <c r="CI146" s="32"/>
      <c r="CJ146" s="32"/>
    </row>
    <row r="147" spans="1:88" s="1" customFormat="1" ht="12.75" customHeight="1" x14ac:dyDescent="0.25">
      <c r="A147" s="144"/>
      <c r="B147" s="144"/>
      <c r="C147" s="104"/>
      <c r="D147" s="104"/>
      <c r="E147" s="102"/>
      <c r="F147" s="100"/>
      <c r="G147" s="101"/>
      <c r="H147" s="102"/>
      <c r="I147" s="100"/>
      <c r="J147" s="101"/>
      <c r="K147" s="103"/>
      <c r="L147" s="103"/>
      <c r="M147" s="103"/>
      <c r="N147" s="104"/>
      <c r="AY147" s="29"/>
      <c r="BP147" s="26"/>
      <c r="BQ147" s="77"/>
      <c r="BR147" s="77"/>
      <c r="BS147" s="77"/>
      <c r="BT147" s="77"/>
      <c r="BU147" s="77"/>
      <c r="BV147" s="77"/>
      <c r="BW147" s="77"/>
      <c r="BX147" s="77"/>
      <c r="BY147" s="77"/>
      <c r="BZ147" s="32"/>
      <c r="CA147" s="32"/>
      <c r="CB147" s="32"/>
      <c r="CC147" s="32"/>
      <c r="CD147" s="32"/>
      <c r="CE147" s="32"/>
      <c r="CF147" s="32"/>
      <c r="CG147" s="32"/>
      <c r="CH147" s="32"/>
      <c r="CI147" s="32"/>
      <c r="CJ147" s="32"/>
    </row>
    <row r="148" spans="1:88" s="1" customFormat="1" ht="12.75" customHeight="1" x14ac:dyDescent="0.25">
      <c r="A148" s="144"/>
      <c r="B148" s="144"/>
      <c r="C148" s="104"/>
      <c r="D148" s="104"/>
      <c r="E148" s="102"/>
      <c r="F148" s="100"/>
      <c r="G148" s="101"/>
      <c r="H148" s="102"/>
      <c r="I148" s="100"/>
      <c r="J148" s="101"/>
      <c r="K148" s="103"/>
      <c r="L148" s="103"/>
      <c r="M148" s="103"/>
      <c r="N148" s="104"/>
      <c r="AY148" s="29"/>
      <c r="BP148" s="26"/>
      <c r="BQ148" s="77"/>
      <c r="BR148" s="77"/>
      <c r="BS148" s="77"/>
      <c r="BT148" s="77"/>
      <c r="BU148" s="77"/>
      <c r="BV148" s="77"/>
      <c r="BW148" s="77"/>
      <c r="BX148" s="77"/>
      <c r="BY148" s="77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</row>
    <row r="149" spans="1:88" s="1" customFormat="1" ht="12.75" customHeight="1" x14ac:dyDescent="0.25">
      <c r="A149" s="144">
        <f>(A37)</f>
        <v>34</v>
      </c>
      <c r="B149" s="144" t="str">
        <f>T(B37)</f>
        <v/>
      </c>
      <c r="C149" s="104"/>
      <c r="D149" s="104"/>
      <c r="E149" s="102"/>
      <c r="F149" s="100"/>
      <c r="G149" s="101"/>
      <c r="H149" s="102"/>
      <c r="I149" s="100"/>
      <c r="J149" s="101"/>
      <c r="K149" s="103"/>
      <c r="L149" s="103"/>
      <c r="M149" s="103"/>
      <c r="N149" s="104"/>
      <c r="AY149" s="29"/>
      <c r="BP149" s="26"/>
      <c r="BQ149" s="77"/>
      <c r="BR149" s="77"/>
      <c r="BS149" s="77"/>
      <c r="BT149" s="77"/>
      <c r="BU149" s="77"/>
      <c r="BV149" s="77"/>
      <c r="BW149" s="77"/>
      <c r="BX149" s="77"/>
      <c r="BY149" s="77"/>
      <c r="BZ149" s="32"/>
      <c r="CA149" s="32"/>
      <c r="CB149" s="32"/>
      <c r="CC149" s="32"/>
      <c r="CD149" s="32"/>
      <c r="CE149" s="32"/>
      <c r="CF149" s="32"/>
      <c r="CG149" s="32"/>
      <c r="CH149" s="32"/>
      <c r="CI149" s="32"/>
      <c r="CJ149" s="32"/>
    </row>
    <row r="150" spans="1:88" s="1" customFormat="1" ht="12.75" customHeight="1" x14ac:dyDescent="0.25">
      <c r="A150" s="144"/>
      <c r="B150" s="144"/>
      <c r="C150" s="104"/>
      <c r="D150" s="104"/>
      <c r="E150" s="102"/>
      <c r="F150" s="100"/>
      <c r="G150" s="101"/>
      <c r="H150" s="102"/>
      <c r="I150" s="100"/>
      <c r="J150" s="101"/>
      <c r="K150" s="103"/>
      <c r="L150" s="103"/>
      <c r="M150" s="103"/>
      <c r="N150" s="104"/>
      <c r="AY150" s="29"/>
      <c r="BP150" s="26"/>
      <c r="BQ150" s="77"/>
      <c r="BR150" s="77"/>
      <c r="BS150" s="77"/>
      <c r="BT150" s="77"/>
      <c r="BU150" s="77"/>
      <c r="BV150" s="77"/>
      <c r="BW150" s="77"/>
      <c r="BX150" s="77"/>
      <c r="BY150" s="77"/>
      <c r="BZ150" s="32"/>
      <c r="CA150" s="32"/>
      <c r="CB150" s="32"/>
      <c r="CC150" s="32"/>
      <c r="CD150" s="32"/>
      <c r="CE150" s="32"/>
      <c r="CF150" s="32"/>
      <c r="CG150" s="32"/>
      <c r="CH150" s="32"/>
      <c r="CI150" s="32"/>
      <c r="CJ150" s="32"/>
    </row>
    <row r="151" spans="1:88" s="1" customFormat="1" ht="12.75" customHeight="1" x14ac:dyDescent="0.25">
      <c r="A151" s="144"/>
      <c r="B151" s="144"/>
      <c r="C151" s="104"/>
      <c r="D151" s="104"/>
      <c r="E151" s="102"/>
      <c r="F151" s="100"/>
      <c r="G151" s="101"/>
      <c r="H151" s="102"/>
      <c r="I151" s="100"/>
      <c r="J151" s="101"/>
      <c r="K151" s="103"/>
      <c r="L151" s="103"/>
      <c r="M151" s="103"/>
      <c r="N151" s="104"/>
      <c r="AY151" s="29"/>
      <c r="BP151" s="26"/>
      <c r="BQ151" s="77"/>
      <c r="BR151" s="77"/>
      <c r="BS151" s="77"/>
      <c r="BT151" s="77"/>
      <c r="BU151" s="77"/>
      <c r="BV151" s="77"/>
      <c r="BW151" s="77"/>
      <c r="BX151" s="77"/>
      <c r="BY151" s="77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</row>
    <row r="152" spans="1:88" s="1" customFormat="1" ht="12.75" customHeight="1" x14ac:dyDescent="0.25">
      <c r="A152" s="144">
        <f>(A38)</f>
        <v>35</v>
      </c>
      <c r="B152" s="144" t="str">
        <f>T(B38)</f>
        <v/>
      </c>
      <c r="C152" s="104"/>
      <c r="D152" s="104"/>
      <c r="E152" s="102"/>
      <c r="F152" s="100"/>
      <c r="G152" s="101"/>
      <c r="H152" s="102"/>
      <c r="I152" s="100"/>
      <c r="J152" s="101"/>
      <c r="K152" s="103"/>
      <c r="L152" s="103"/>
      <c r="M152" s="103"/>
      <c r="N152" s="104"/>
      <c r="AY152" s="29"/>
      <c r="BP152" s="26"/>
      <c r="BQ152" s="77"/>
      <c r="BR152" s="77"/>
      <c r="BS152" s="77"/>
      <c r="BT152" s="77"/>
      <c r="BU152" s="77"/>
      <c r="BV152" s="77"/>
      <c r="BW152" s="77"/>
      <c r="BX152" s="77"/>
      <c r="BY152" s="77"/>
      <c r="BZ152" s="32"/>
      <c r="CA152" s="32"/>
      <c r="CB152" s="32"/>
      <c r="CC152" s="32"/>
      <c r="CD152" s="32"/>
      <c r="CE152" s="32"/>
      <c r="CF152" s="32"/>
      <c r="CG152" s="32"/>
      <c r="CH152" s="32"/>
      <c r="CI152" s="32"/>
      <c r="CJ152" s="32"/>
    </row>
    <row r="153" spans="1:88" s="1" customFormat="1" ht="12.75" customHeight="1" x14ac:dyDescent="0.25">
      <c r="A153" s="144"/>
      <c r="B153" s="144"/>
      <c r="C153" s="104"/>
      <c r="D153" s="104"/>
      <c r="E153" s="102"/>
      <c r="F153" s="100"/>
      <c r="G153" s="101"/>
      <c r="H153" s="102"/>
      <c r="I153" s="100"/>
      <c r="J153" s="101"/>
      <c r="K153" s="103"/>
      <c r="L153" s="103"/>
      <c r="M153" s="103"/>
      <c r="N153" s="104"/>
      <c r="AY153" s="29"/>
      <c r="BP153" s="26"/>
      <c r="BQ153" s="77"/>
      <c r="BR153" s="77"/>
      <c r="BS153" s="77"/>
      <c r="BT153" s="77"/>
      <c r="BU153" s="77"/>
      <c r="BV153" s="77"/>
      <c r="BW153" s="77"/>
      <c r="BX153" s="77"/>
      <c r="BY153" s="77"/>
      <c r="BZ153" s="32"/>
      <c r="CA153" s="32"/>
      <c r="CB153" s="32"/>
      <c r="CC153" s="32"/>
      <c r="CD153" s="32"/>
      <c r="CE153" s="32"/>
      <c r="CF153" s="32"/>
      <c r="CG153" s="32"/>
      <c r="CH153" s="32"/>
      <c r="CI153" s="32"/>
      <c r="CJ153" s="32"/>
    </row>
    <row r="154" spans="1:88" s="1" customFormat="1" ht="12.75" customHeight="1" x14ac:dyDescent="0.25">
      <c r="A154" s="144"/>
      <c r="B154" s="144"/>
      <c r="C154" s="104"/>
      <c r="D154" s="104"/>
      <c r="E154" s="102"/>
      <c r="F154" s="100"/>
      <c r="G154" s="101"/>
      <c r="H154" s="102"/>
      <c r="I154" s="100"/>
      <c r="J154" s="101"/>
      <c r="K154" s="103"/>
      <c r="L154" s="103"/>
      <c r="M154" s="103"/>
      <c r="N154" s="104"/>
      <c r="AY154" s="29"/>
      <c r="BP154" s="26"/>
      <c r="BQ154" s="77"/>
      <c r="BR154" s="77"/>
      <c r="BS154" s="77"/>
      <c r="BT154" s="77"/>
      <c r="BU154" s="77"/>
      <c r="BV154" s="77"/>
      <c r="BW154" s="77"/>
      <c r="BX154" s="77"/>
      <c r="BY154" s="77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</row>
    <row r="155" spans="1:88" x14ac:dyDescent="0.25">
      <c r="BY155" s="5"/>
      <c r="CJ155" s="4"/>
    </row>
    <row r="156" spans="1:88" x14ac:dyDescent="0.25">
      <c r="BY156" s="5"/>
      <c r="CJ156" s="4"/>
    </row>
    <row r="157" spans="1:88" x14ac:dyDescent="0.25">
      <c r="BY157" s="5"/>
      <c r="CJ157" s="4"/>
    </row>
    <row r="158" spans="1:88" x14ac:dyDescent="0.25">
      <c r="BY158" s="5"/>
      <c r="CJ158" s="4"/>
    </row>
    <row r="159" spans="1:88" x14ac:dyDescent="0.25">
      <c r="C159">
        <f>CORREL(C4:C38,C4:C38)</f>
        <v>1</v>
      </c>
      <c r="D159" s="6">
        <f>CORREL(C4:C38,D4:D38)</f>
        <v>-1.1819683252098517E-2</v>
      </c>
      <c r="E159" s="7">
        <f>CORREL(C4:C38,E4:E38)</f>
        <v>2.3186692951720513E-2</v>
      </c>
      <c r="F159" s="23">
        <f>CORREL(C4:C38,F4:F38)</f>
        <v>8.3259562879651403E-2</v>
      </c>
      <c r="G159" s="24">
        <f>CORREL(C4:C38,G4:G38)</f>
        <v>3.0929451386079273E-2</v>
      </c>
      <c r="H159" s="7">
        <f>CORREL(C4:C38,H4:H38)</f>
        <v>0.31404689299827254</v>
      </c>
      <c r="I159" s="23">
        <f>CORREL(C4:C38,I4:I38)</f>
        <v>0.68747876464094404</v>
      </c>
      <c r="J159" s="24">
        <f>CORREL(C4:C38,J4:J38)</f>
        <v>0.705012936087827</v>
      </c>
      <c r="K159" s="10">
        <f>CORREL(C4:C38,K4:K38)</f>
        <v>6.2364356347370163E-2</v>
      </c>
      <c r="L159" s="10">
        <f>CORREL(C4:C38,L4:L38)</f>
        <v>-4.3666380707390332E-2</v>
      </c>
      <c r="M159" s="10">
        <f>CORREL(C4:C38,M4:M38)</f>
        <v>-0.17609467351487587</v>
      </c>
      <c r="N159" s="6">
        <f>CORREL(C4:C38,N4:N38)</f>
        <v>0.84670975288311301</v>
      </c>
      <c r="BY159" s="5"/>
      <c r="CJ159" s="4"/>
    </row>
    <row r="160" spans="1:88" x14ac:dyDescent="0.25">
      <c r="C160" s="6"/>
      <c r="D160">
        <f>CORREL(D4:D38,D4:D38)</f>
        <v>1</v>
      </c>
      <c r="E160" s="7">
        <f>CORREL(D4:D38,E4:E38)</f>
        <v>0.74181780263616592</v>
      </c>
      <c r="F160" s="23">
        <f>CORREL(D4:D38,F4:F38)</f>
        <v>0.76051305812959091</v>
      </c>
      <c r="G160" s="24">
        <f>CORREL(D4:D38,G4:G38)</f>
        <v>0.77837611837776965</v>
      </c>
      <c r="H160" s="7">
        <f>CORREL(D4:D38,H4:H38)</f>
        <v>0.51967482528854514</v>
      </c>
      <c r="I160" s="23">
        <f>CORREL(D4:D38,I4:I38)</f>
        <v>-5.469991775754985E-2</v>
      </c>
      <c r="J160" s="24">
        <f>CORREL(D4:D38,J4:J38)</f>
        <v>3.2733282636378827E-2</v>
      </c>
      <c r="K160" s="10">
        <f>CORREL(D4:D38,K4:K38)</f>
        <v>0.56631775266495543</v>
      </c>
      <c r="L160" s="10">
        <f>CORREL(D4:D38,L4:L38)</f>
        <v>0.6479483964487539</v>
      </c>
      <c r="M160" s="10">
        <f>CORREL(D4:D38,M4:M38)</f>
        <v>0.6899146826315713</v>
      </c>
      <c r="N160" s="6">
        <f>CORREL(D4:D38,N4:N38)</f>
        <v>-0.11549020540228874</v>
      </c>
      <c r="BY160" s="5"/>
      <c r="CJ160" s="4"/>
    </row>
    <row r="161" spans="3:88" x14ac:dyDescent="0.25">
      <c r="C161" s="6"/>
      <c r="D161" s="6"/>
      <c r="E161">
        <f>CORREL(E4:E38,E4:E38)</f>
        <v>1.0000000000000002</v>
      </c>
      <c r="F161" s="23">
        <f>CORREL(E4:E38,F4:F38)</f>
        <v>0.72601162193374502</v>
      </c>
      <c r="G161" s="24">
        <f>CORREL(E4:E38,G4:G38)</f>
        <v>0.73705579732194548</v>
      </c>
      <c r="H161" s="7">
        <f>CORREL(E4:E38,H4:H38)</f>
        <v>0.32061232369644033</v>
      </c>
      <c r="I161" s="23">
        <f>CORREL(E4:E38,I4:I38)</f>
        <v>-0.10743161090549559</v>
      </c>
      <c r="J161" s="24">
        <f>CORREL(E4:E38,J4:J38)</f>
        <v>-3.8097627581573326E-2</v>
      </c>
      <c r="K161" s="10">
        <f>CORREL(E4:E38,K4:K38)</f>
        <v>0.546143791587403</v>
      </c>
      <c r="L161" s="10">
        <f>CORREL(E4:E38,L4:L38)</f>
        <v>0.46019833231002949</v>
      </c>
      <c r="M161" s="10">
        <f>CORREL(E4:E38,M4:M38)</f>
        <v>0.34847949440831227</v>
      </c>
      <c r="N161" s="6">
        <f>CORREL(E4:E38,N4:N38)</f>
        <v>6.1164239051594543E-2</v>
      </c>
      <c r="BY161" s="5"/>
      <c r="CJ161" s="4"/>
    </row>
    <row r="162" spans="3:88" x14ac:dyDescent="0.25">
      <c r="C162" s="6"/>
      <c r="D162" s="6"/>
      <c r="E162" s="7"/>
      <c r="F162">
        <f>CORREL(F4:F38,F4:F38)</f>
        <v>1</v>
      </c>
      <c r="G162" s="24">
        <f>CORREL(F4:F38,G4:G38)</f>
        <v>0.91460453905144357</v>
      </c>
      <c r="H162" s="7">
        <f>CORREL(F4:F38,H4:H38)</f>
        <v>0.73102433551985435</v>
      </c>
      <c r="I162" s="23">
        <f>CORREL(F4:F38,I4:I38)</f>
        <v>-3.3575761978310921E-2</v>
      </c>
      <c r="J162" s="24">
        <f>CORREL(F4:F38,J4:J38)</f>
        <v>-6.0286944692223066E-2</v>
      </c>
      <c r="K162" s="10">
        <f>CORREL(F4:F38,K4:K38)</f>
        <v>0.35875722632427332</v>
      </c>
      <c r="L162" s="10">
        <f>CORREL(F4:F38,L4:L38)</f>
        <v>0.46068222279590809</v>
      </c>
      <c r="M162" s="10">
        <f>CORREL(F4:F38,M4:M38)</f>
        <v>0.42273526138149325</v>
      </c>
      <c r="N162" s="6">
        <f>CORREL(F4:F38,N4:N38)</f>
        <v>3.419528783895015E-2</v>
      </c>
      <c r="BY162" s="5"/>
      <c r="CJ162" s="4"/>
    </row>
    <row r="163" spans="3:88" x14ac:dyDescent="0.25">
      <c r="C163" s="6"/>
      <c r="D163" s="6"/>
      <c r="E163" s="7"/>
      <c r="F163" s="23"/>
      <c r="G163">
        <f>CORREL(G4:G38,G4:G38)</f>
        <v>1.0000000000000002</v>
      </c>
      <c r="H163" s="7">
        <f>CORREL(G4:G38,H4:H38)</f>
        <v>0.74707953288758167</v>
      </c>
      <c r="I163" s="23">
        <f>CORREL(G4:G38,I4:I38)</f>
        <v>4.6962365366157036E-3</v>
      </c>
      <c r="J163" s="24">
        <f>CORREL(G4:G38,J4:J38)</f>
        <v>2.1354590433749683E-3</v>
      </c>
      <c r="K163" s="10">
        <f>CORREL(G4:G38,K4:K38)</f>
        <v>0.46568939503528245</v>
      </c>
      <c r="L163" s="10">
        <f>CORREL(G4:G38,L4:L38)</f>
        <v>0.47013554895357218</v>
      </c>
      <c r="M163" s="10">
        <f>CORREL(G4:G38,M4:M38)</f>
        <v>0.5410829386277074</v>
      </c>
      <c r="N163" s="6">
        <f>CORREL(G4:G38,N4:N38)</f>
        <v>3.4703756525267443E-2</v>
      </c>
      <c r="BY163" s="5"/>
      <c r="CJ163" s="4"/>
    </row>
    <row r="164" spans="3:88" x14ac:dyDescent="0.25">
      <c r="C164" s="6"/>
      <c r="D164" s="6"/>
      <c r="E164" s="7"/>
      <c r="F164" s="23"/>
      <c r="G164" s="24"/>
      <c r="H164">
        <f>CORREL(H4:H38,H4:H38)</f>
        <v>1</v>
      </c>
      <c r="I164" s="23">
        <f>CORREL(H4:H38,I4:I38)</f>
        <v>0.1251894186252068</v>
      </c>
      <c r="J164" s="24">
        <f>CORREL(H4:H38,J4:J38)</f>
        <v>9.037925556045287E-2</v>
      </c>
      <c r="K164" s="10">
        <f>CORREL(H4:H38,K4:K38)</f>
        <v>0.16522575072174137</v>
      </c>
      <c r="L164" s="10">
        <f>CORREL(H4:H38,L4:L38)</f>
        <v>0.26044876631696173</v>
      </c>
      <c r="M164" s="10">
        <f>CORREL(H4:H38,M4:M38)</f>
        <v>0.31155260960929604</v>
      </c>
      <c r="N164" s="6">
        <f>CORREL(H4:H38,N4:N38)</f>
        <v>0.22994104448929203</v>
      </c>
      <c r="BY164" s="5"/>
      <c r="CJ164" s="4"/>
    </row>
    <row r="165" spans="3:88" x14ac:dyDescent="0.25">
      <c r="C165" s="6"/>
      <c r="D165" s="6"/>
      <c r="E165" s="7"/>
      <c r="F165" s="23"/>
      <c r="G165" s="24"/>
      <c r="H165" s="7"/>
      <c r="I165">
        <f>CORREL(I4:I38,I4:I38)</f>
        <v>1</v>
      </c>
      <c r="J165" s="24">
        <f>CORREL(I4:I38,J4:J38)</f>
        <v>0.79939139114949898</v>
      </c>
      <c r="K165" s="10">
        <f>CORREL(I4:I38,K4:K38)</f>
        <v>-0.1257238560897507</v>
      </c>
      <c r="L165" s="10">
        <f>CORREL(I4:I38,L4:L38)</f>
        <v>-0.19724768427723791</v>
      </c>
      <c r="M165" s="10">
        <f>CORREL(I4:I38,M4:M38)</f>
        <v>-0.11783408393365115</v>
      </c>
      <c r="N165" s="6">
        <f>CORREL(I4:I38,N4:N38)</f>
        <v>0.58497471161264103</v>
      </c>
      <c r="BY165" s="5"/>
      <c r="CJ165" s="4"/>
    </row>
    <row r="166" spans="3:88" x14ac:dyDescent="0.25">
      <c r="C166" s="6"/>
      <c r="D166" s="6"/>
      <c r="E166" s="7"/>
      <c r="F166" s="23"/>
      <c r="G166" s="24"/>
      <c r="H166" s="7"/>
      <c r="I166" s="23"/>
      <c r="J166">
        <f>CORREL(J4:J38,J4:J38)</f>
        <v>1.0000000000000002</v>
      </c>
      <c r="K166" s="10">
        <f>CORREL(J4:J38,K4:K38)</f>
        <v>9.06815239337911E-2</v>
      </c>
      <c r="L166" s="10">
        <f>CORREL(J4:J38,L4:L38)</f>
        <v>8.7095770401125969E-3</v>
      </c>
      <c r="M166" s="10">
        <f>CORREL(J4:J38,M4:M38)</f>
        <v>-3.1690032007697495E-2</v>
      </c>
      <c r="N166" s="6">
        <f>CORREL(J4:J38,N4:N38)</f>
        <v>0.61585872323674085</v>
      </c>
    </row>
    <row r="167" spans="3:88" x14ac:dyDescent="0.25">
      <c r="C167" s="6"/>
      <c r="D167" s="6"/>
      <c r="E167" s="7"/>
      <c r="F167" s="23"/>
      <c r="G167" s="24"/>
      <c r="H167" s="7"/>
      <c r="I167" s="23"/>
      <c r="J167" s="24"/>
      <c r="K167">
        <f>CORREL(K4:K38,K4:K38)</f>
        <v>1.0000000000000002</v>
      </c>
      <c r="L167" s="10">
        <f>CORREL(K4:K38,L4:L38)</f>
        <v>0.90331199028240516</v>
      </c>
      <c r="M167" s="10">
        <f>CORREL(K4:K38,M4:M38)</f>
        <v>0.68171801521573583</v>
      </c>
      <c r="N167" s="6">
        <f>CORREL(K4:K38,N4:N38)</f>
        <v>9.2105182773868519E-2</v>
      </c>
    </row>
    <row r="168" spans="3:88" x14ac:dyDescent="0.25">
      <c r="C168" s="6"/>
      <c r="D168" s="6"/>
      <c r="E168" s="7"/>
      <c r="F168" s="23"/>
      <c r="G168" s="24"/>
      <c r="H168" s="7"/>
      <c r="I168" s="23"/>
      <c r="J168" s="24"/>
      <c r="K168" s="10"/>
      <c r="L168">
        <f>CORREL(L4:L38,L4:L38)</f>
        <v>0.99999999999999989</v>
      </c>
      <c r="M168" s="10">
        <f>CORREL(L4:L38,M4:M38)</f>
        <v>0.77519687501367174</v>
      </c>
      <c r="N168" s="6">
        <f>CORREL(L4:L38,N4:N38)</f>
        <v>-9.6628962338625515E-2</v>
      </c>
    </row>
    <row r="169" spans="3:88" x14ac:dyDescent="0.25">
      <c r="C169" s="6"/>
      <c r="D169" s="6"/>
      <c r="E169" s="7"/>
      <c r="F169" s="23"/>
      <c r="G169" s="24"/>
      <c r="H169" s="7"/>
      <c r="I169" s="23"/>
      <c r="J169" s="24"/>
      <c r="K169" s="10"/>
      <c r="L169" s="10"/>
      <c r="M169">
        <f>CORREL(M4:M38,M4:M38)</f>
        <v>1</v>
      </c>
      <c r="N169" s="6">
        <f>CORREL(M4:M38,N4:N38)</f>
        <v>-0.20159571511117363</v>
      </c>
    </row>
    <row r="170" spans="3:88" x14ac:dyDescent="0.25">
      <c r="C170" s="6"/>
      <c r="D170" s="6"/>
      <c r="E170" s="7"/>
      <c r="F170" s="23"/>
      <c r="G170" s="24"/>
      <c r="H170" s="7"/>
      <c r="I170" s="23"/>
      <c r="J170" s="24"/>
      <c r="K170" s="10"/>
      <c r="L170" s="10"/>
      <c r="M170" s="10"/>
      <c r="N170">
        <f>CORREL(N4:N38,N4:N38)</f>
        <v>1</v>
      </c>
    </row>
  </sheetData>
  <mergeCells count="70">
    <mergeCell ref="B83:B85"/>
    <mergeCell ref="B50:B52"/>
    <mergeCell ref="B53:B55"/>
    <mergeCell ref="B56:B58"/>
    <mergeCell ref="B59:B61"/>
    <mergeCell ref="B62:B64"/>
    <mergeCell ref="B65:B67"/>
    <mergeCell ref="B68:B70"/>
    <mergeCell ref="B71:B73"/>
    <mergeCell ref="B74:B76"/>
    <mergeCell ref="B77:B79"/>
    <mergeCell ref="B80:B82"/>
    <mergeCell ref="B119:B121"/>
    <mergeCell ref="B86:B88"/>
    <mergeCell ref="B89:B91"/>
    <mergeCell ref="B92:B94"/>
    <mergeCell ref="B95:B97"/>
    <mergeCell ref="B98:B100"/>
    <mergeCell ref="B101:B103"/>
    <mergeCell ref="B104:B106"/>
    <mergeCell ref="B107:B109"/>
    <mergeCell ref="B110:B112"/>
    <mergeCell ref="B113:B115"/>
    <mergeCell ref="B116:B118"/>
    <mergeCell ref="B152:B154"/>
    <mergeCell ref="A152:A154"/>
    <mergeCell ref="A149:A151"/>
    <mergeCell ref="A146:A148"/>
    <mergeCell ref="A143:A145"/>
    <mergeCell ref="B137:B139"/>
    <mergeCell ref="A137:A139"/>
    <mergeCell ref="A134:A136"/>
    <mergeCell ref="A131:A133"/>
    <mergeCell ref="A128:A130"/>
    <mergeCell ref="B122:B124"/>
    <mergeCell ref="B125:B127"/>
    <mergeCell ref="B128:B130"/>
    <mergeCell ref="B131:B133"/>
    <mergeCell ref="B134:B136"/>
    <mergeCell ref="B140:B142"/>
    <mergeCell ref="B143:B145"/>
    <mergeCell ref="B146:B148"/>
    <mergeCell ref="B149:B151"/>
    <mergeCell ref="A140:A142"/>
    <mergeCell ref="A125:A127"/>
    <mergeCell ref="A86:A88"/>
    <mergeCell ref="A119:A121"/>
    <mergeCell ref="A116:A118"/>
    <mergeCell ref="A113:A115"/>
    <mergeCell ref="A110:A112"/>
    <mergeCell ref="A107:A109"/>
    <mergeCell ref="A104:A106"/>
    <mergeCell ref="A101:A103"/>
    <mergeCell ref="A98:A100"/>
    <mergeCell ref="A95:A97"/>
    <mergeCell ref="A92:A94"/>
    <mergeCell ref="A89:A91"/>
    <mergeCell ref="A122:A124"/>
    <mergeCell ref="A50:A52"/>
    <mergeCell ref="A83:A85"/>
    <mergeCell ref="A80:A82"/>
    <mergeCell ref="A77:A79"/>
    <mergeCell ref="A74:A76"/>
    <mergeCell ref="A71:A73"/>
    <mergeCell ref="A68:A70"/>
    <mergeCell ref="A65:A67"/>
    <mergeCell ref="A62:A64"/>
    <mergeCell ref="A59:A61"/>
    <mergeCell ref="A56:A58"/>
    <mergeCell ref="A53:A55"/>
  </mergeCells>
  <phoneticPr fontId="0" type="noConversion"/>
  <pageMargins left="0.75" right="0.75" top="1" bottom="1" header="0" footer="0"/>
  <pageSetup paperSize="9" orientation="portrait" horizontalDpi="300" verticalDpi="300" r:id="rId1"/>
  <ignoredErrors>
    <ignoredError sqref="C4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nButtonClick" altText="3. Apreta aqui">
                <anchor moveWithCells="1" sizeWithCells="1">
                  <from>
                    <xdr:col>16</xdr:col>
                    <xdr:colOff>38100</xdr:colOff>
                    <xdr:row>44</xdr:row>
                    <xdr:rowOff>152400</xdr:rowOff>
                  </from>
                  <to>
                    <xdr:col>24</xdr:col>
                    <xdr:colOff>22860</xdr:colOff>
                    <xdr:row>50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pageSetUpPr fitToPage="1"/>
  </sheetPr>
  <dimension ref="B1:AM91"/>
  <sheetViews>
    <sheetView view="pageBreakPreview" zoomScaleNormal="125" zoomScaleSheetLayoutView="100" zoomScalePageLayoutView="125" workbookViewId="0">
      <selection activeCell="AC3" sqref="AC3"/>
    </sheetView>
  </sheetViews>
  <sheetFormatPr baseColWidth="10" defaultRowHeight="13.2" x14ac:dyDescent="0.25"/>
  <cols>
    <col min="1" max="1" width="2.109375" customWidth="1"/>
    <col min="2" max="2" width="3.6640625" customWidth="1"/>
    <col min="3" max="5" width="3.44140625" customWidth="1"/>
    <col min="6" max="9" width="3" customWidth="1"/>
    <col min="10" max="10" width="3.44140625" customWidth="1"/>
    <col min="11" max="11" width="3" customWidth="1"/>
    <col min="12" max="12" width="17.6640625" customWidth="1"/>
    <col min="13" max="16" width="3.44140625" customWidth="1"/>
    <col min="17" max="25" width="3" customWidth="1"/>
    <col min="26" max="27" width="3.44140625" customWidth="1"/>
    <col min="28" max="28" width="1.33203125" customWidth="1"/>
    <col min="30" max="30" width="13" bestFit="1" customWidth="1"/>
    <col min="31" max="31" width="22.44140625" customWidth="1"/>
    <col min="32" max="42" width="6.33203125" customWidth="1"/>
  </cols>
  <sheetData>
    <row r="1" spans="2:39" ht="6.75" customHeight="1" thickBot="1" x14ac:dyDescent="0.3"/>
    <row r="2" spans="2:39" ht="18.600000000000001" thickBot="1" x14ac:dyDescent="0.4">
      <c r="B2" s="146" t="str">
        <f>'Entrar Dades'!B1</f>
        <v xml:space="preserve">Centre i grup: </v>
      </c>
      <c r="C2" s="147"/>
      <c r="D2" s="147"/>
      <c r="E2" s="147"/>
      <c r="F2" s="147"/>
      <c r="G2" s="147"/>
      <c r="H2" s="147"/>
      <c r="I2" s="147"/>
      <c r="J2" s="147"/>
      <c r="K2" s="147"/>
      <c r="L2" s="148"/>
      <c r="M2" s="149" t="str">
        <f>'Entrar Dades'!B2</f>
        <v xml:space="preserve">Data: </v>
      </c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1"/>
    </row>
    <row r="3" spans="2:39" ht="14.4" thickBot="1" x14ac:dyDescent="0.35">
      <c r="B3" s="152" t="str">
        <f>'Entrar Dades'!U2</f>
        <v>Agressivitat</v>
      </c>
      <c r="C3" s="153"/>
      <c r="D3" s="153"/>
      <c r="E3" s="153"/>
      <c r="F3" s="153"/>
      <c r="G3" s="153"/>
      <c r="H3" s="153"/>
      <c r="I3" s="154"/>
      <c r="J3" s="158" t="str">
        <f>'Entrar Dades'!Z2</f>
        <v>Prosocial</v>
      </c>
      <c r="K3" s="158"/>
      <c r="L3" s="129" t="str">
        <f>'Entrar Dades'!AC2</f>
        <v>Alumnes</v>
      </c>
      <c r="M3" s="152" t="str">
        <f>'Entrar Dades'!AI2</f>
        <v>Victimització</v>
      </c>
      <c r="N3" s="153"/>
      <c r="O3" s="153"/>
      <c r="P3" s="153"/>
      <c r="Q3" s="153"/>
      <c r="R3" s="153"/>
      <c r="S3" s="153"/>
      <c r="T3" s="154"/>
      <c r="U3" s="155" t="str">
        <f>'Entrar Dades'!AN2</f>
        <v>Estatus sociomètric</v>
      </c>
      <c r="V3" s="156"/>
      <c r="W3" s="156"/>
      <c r="X3" s="156"/>
      <c r="Y3" s="156"/>
      <c r="Z3" s="156"/>
      <c r="AA3" s="157"/>
    </row>
    <row r="4" spans="2:39" ht="93.6" thickBot="1" x14ac:dyDescent="0.3">
      <c r="B4" s="118" t="str">
        <f>'Entrar Dades'!Q3</f>
        <v>Total Agressivitat</v>
      </c>
      <c r="C4" s="119" t="str">
        <f>'Entrar Dades'!R3</f>
        <v>Agressivitat Física</v>
      </c>
      <c r="D4" s="119" t="str">
        <f>'Entrar Dades'!S3</f>
        <v>Agressivitat Verbal</v>
      </c>
      <c r="E4" s="120" t="str">
        <f>'Entrar Dades'!T3</f>
        <v>Agressivitat Relacional</v>
      </c>
      <c r="F4" s="121" t="str">
        <f>'Entrar Dades'!U3</f>
        <v>Total Agressivitat</v>
      </c>
      <c r="G4" s="122" t="str">
        <f>'Entrar Dades'!V3</f>
        <v>Agressivitat Física</v>
      </c>
      <c r="H4" s="122" t="str">
        <f>'Entrar Dades'!W3</f>
        <v>Agressivitat Verbal</v>
      </c>
      <c r="I4" s="123" t="str">
        <f>'Entrar Dades'!X3</f>
        <v>Agressivitat Relacional</v>
      </c>
      <c r="J4" s="118" t="str">
        <f>'Entrar Dades'!Z3</f>
        <v>Prosocialitat</v>
      </c>
      <c r="K4" s="120" t="str">
        <f>'Entrar Dades'!AA3</f>
        <v>Prosocialitat</v>
      </c>
      <c r="L4" s="124"/>
      <c r="M4" s="125" t="str">
        <f>'Entrar Dades'!AE3</f>
        <v>Total Victimització</v>
      </c>
      <c r="N4" s="119" t="str">
        <f>'Entrar Dades'!AF3</f>
        <v>Victimització Física</v>
      </c>
      <c r="O4" s="119" t="str">
        <f>'Entrar Dades'!AG3</f>
        <v>Victimització Verbal</v>
      </c>
      <c r="P4" s="120" t="str">
        <f>'Entrar Dades'!AH3</f>
        <v>Victimització Relacional</v>
      </c>
      <c r="Q4" s="126" t="str">
        <f>'Entrar Dades'!AI3</f>
        <v>Total Victimització</v>
      </c>
      <c r="R4" s="119" t="str">
        <f>'Entrar Dades'!AJ3</f>
        <v>Victimització Física</v>
      </c>
      <c r="S4" s="119" t="str">
        <f>'Entrar Dades'!AK3</f>
        <v>Victimització Verbal</v>
      </c>
      <c r="T4" s="120" t="str">
        <f>'Entrar Dades'!AL3</f>
        <v>Victimització Relacional</v>
      </c>
      <c r="U4" s="126" t="str">
        <f>'Entrar Dades'!AN3</f>
        <v>Popular</v>
      </c>
      <c r="V4" s="119" t="str">
        <f>'Entrar Dades'!AO3</f>
        <v>Rebutjat</v>
      </c>
      <c r="W4" s="119" t="str">
        <f>'Entrar Dades'!AP3</f>
        <v>Ignorat</v>
      </c>
      <c r="X4" s="120" t="str">
        <f>'Entrar Dades'!AQ3</f>
        <v>Controvertit</v>
      </c>
      <c r="Y4" s="127" t="s">
        <v>83</v>
      </c>
      <c r="Z4" s="126" t="str">
        <f>'Entrar Dades'!AS3</f>
        <v>Tries positives</v>
      </c>
      <c r="AA4" s="128" t="str">
        <f>'Entrar Dades'!AT3</f>
        <v>Tries negatives</v>
      </c>
      <c r="AD4" s="68"/>
      <c r="AF4" s="145"/>
      <c r="AG4" s="145"/>
      <c r="AH4" s="145"/>
      <c r="AI4" s="145"/>
      <c r="AJ4" s="145"/>
      <c r="AK4" s="145"/>
      <c r="AL4" s="145"/>
      <c r="AM4" s="145"/>
    </row>
    <row r="5" spans="2:39" x14ac:dyDescent="0.25">
      <c r="B5" s="94">
        <f>'Entrar Dades'!Q4</f>
        <v>12</v>
      </c>
      <c r="C5" s="83">
        <f>'Entrar Dades'!R4</f>
        <v>8</v>
      </c>
      <c r="D5" s="83">
        <f>'Entrar Dades'!S4</f>
        <v>0</v>
      </c>
      <c r="E5" s="89">
        <f>'Entrar Dades'!T4</f>
        <v>4</v>
      </c>
      <c r="F5" s="74" t="str">
        <f>'Entrar Dades'!U4</f>
        <v>X</v>
      </c>
      <c r="G5" s="67" t="str">
        <f>'Entrar Dades'!V4</f>
        <v>X</v>
      </c>
      <c r="H5" s="67" t="str">
        <f>'Entrar Dades'!W4</f>
        <v xml:space="preserve"> </v>
      </c>
      <c r="I5" s="79" t="str">
        <f>'Entrar Dades'!X4</f>
        <v xml:space="preserve"> </v>
      </c>
      <c r="J5" s="94">
        <f>'Entrar Dades'!Z4</f>
        <v>4</v>
      </c>
      <c r="K5" s="79" t="str">
        <f>'Entrar Dades'!AA4</f>
        <v>X</v>
      </c>
      <c r="L5" s="88" t="str">
        <f>'Entrar Dades'!AC4</f>
        <v xml:space="preserve">1 </v>
      </c>
      <c r="M5" s="96">
        <f>'Entrar Dades'!AE4</f>
        <v>18</v>
      </c>
      <c r="N5" s="83">
        <f>'Entrar Dades'!AF4</f>
        <v>2</v>
      </c>
      <c r="O5" s="83">
        <f>'Entrar Dades'!AG4</f>
        <v>5</v>
      </c>
      <c r="P5" s="89">
        <f>'Entrar Dades'!AH4</f>
        <v>11</v>
      </c>
      <c r="Q5" s="74" t="str">
        <f>'Entrar Dades'!AI4</f>
        <v>X</v>
      </c>
      <c r="R5" s="67" t="str">
        <f>'Entrar Dades'!AJ4</f>
        <v xml:space="preserve"> </v>
      </c>
      <c r="S5" s="67" t="str">
        <f>'Entrar Dades'!AK4</f>
        <v xml:space="preserve"> </v>
      </c>
      <c r="T5" s="79" t="str">
        <f>'Entrar Dades'!AL4</f>
        <v>X</v>
      </c>
      <c r="U5" s="74" t="str">
        <f>'Entrar Dades'!AN4</f>
        <v xml:space="preserve"> </v>
      </c>
      <c r="V5" s="67" t="str">
        <f>'Entrar Dades'!AO4</f>
        <v xml:space="preserve"> </v>
      </c>
      <c r="W5" s="67" t="str">
        <f>'Entrar Dades'!AP4</f>
        <v xml:space="preserve"> </v>
      </c>
      <c r="X5" s="79" t="str">
        <f>'Entrar Dades'!AQ4</f>
        <v xml:space="preserve"> </v>
      </c>
      <c r="Y5" s="79" t="str">
        <f>'Entrar Dades'!AR4</f>
        <v xml:space="preserve"> </v>
      </c>
      <c r="Z5" s="69">
        <f>'Entrar Dades'!AS4</f>
        <v>1</v>
      </c>
      <c r="AA5" s="72">
        <f>'Entrar Dades'!AT4</f>
        <v>4</v>
      </c>
    </row>
    <row r="6" spans="2:39" x14ac:dyDescent="0.25">
      <c r="B6" s="94">
        <f>'Entrar Dades'!Q5</f>
        <v>6</v>
      </c>
      <c r="C6" s="83">
        <f>'Entrar Dades'!R5</f>
        <v>1</v>
      </c>
      <c r="D6" s="83">
        <f>'Entrar Dades'!S5</f>
        <v>4</v>
      </c>
      <c r="E6" s="89">
        <f>'Entrar Dades'!T5</f>
        <v>1</v>
      </c>
      <c r="F6" s="74" t="str">
        <f>'Entrar Dades'!U5</f>
        <v xml:space="preserve"> </v>
      </c>
      <c r="G6" s="67" t="str">
        <f>'Entrar Dades'!V5</f>
        <v xml:space="preserve"> </v>
      </c>
      <c r="H6" s="67" t="str">
        <f>'Entrar Dades'!W5</f>
        <v xml:space="preserve"> </v>
      </c>
      <c r="I6" s="79" t="str">
        <f>'Entrar Dades'!X5</f>
        <v xml:space="preserve"> </v>
      </c>
      <c r="J6" s="94">
        <f>'Entrar Dades'!Z5</f>
        <v>2.5</v>
      </c>
      <c r="K6" s="79" t="str">
        <f>'Entrar Dades'!AA5</f>
        <v xml:space="preserve"> </v>
      </c>
      <c r="L6" s="86" t="str">
        <f>'Entrar Dades'!AC5</f>
        <v xml:space="preserve">2 </v>
      </c>
      <c r="M6" s="96">
        <f>'Entrar Dades'!AE5</f>
        <v>0</v>
      </c>
      <c r="N6" s="83">
        <f>'Entrar Dades'!AF5</f>
        <v>0</v>
      </c>
      <c r="O6" s="83">
        <f>'Entrar Dades'!AG5</f>
        <v>0</v>
      </c>
      <c r="P6" s="89">
        <f>'Entrar Dades'!AH5</f>
        <v>0</v>
      </c>
      <c r="Q6" s="74" t="str">
        <f>'Entrar Dades'!AI5</f>
        <v xml:space="preserve"> </v>
      </c>
      <c r="R6" s="67" t="str">
        <f>'Entrar Dades'!AJ5</f>
        <v xml:space="preserve"> </v>
      </c>
      <c r="S6" s="67" t="str">
        <f>'Entrar Dades'!AK5</f>
        <v xml:space="preserve"> </v>
      </c>
      <c r="T6" s="79" t="str">
        <f>'Entrar Dades'!AL5</f>
        <v xml:space="preserve"> </v>
      </c>
      <c r="U6" s="74" t="str">
        <f>'Entrar Dades'!AN5</f>
        <v xml:space="preserve"> </v>
      </c>
      <c r="V6" s="67" t="str">
        <f>'Entrar Dades'!AO5</f>
        <v xml:space="preserve"> </v>
      </c>
      <c r="W6" s="67" t="str">
        <f>'Entrar Dades'!AP5</f>
        <v xml:space="preserve"> </v>
      </c>
      <c r="X6" s="79" t="str">
        <f>'Entrar Dades'!AQ5</f>
        <v xml:space="preserve"> </v>
      </c>
      <c r="Y6" s="79" t="str">
        <f>'Entrar Dades'!AR5</f>
        <v xml:space="preserve"> </v>
      </c>
      <c r="Z6" s="69">
        <f>'Entrar Dades'!AS5</f>
        <v>3</v>
      </c>
      <c r="AA6" s="72">
        <f>'Entrar Dades'!AT5</f>
        <v>2</v>
      </c>
    </row>
    <row r="7" spans="2:39" x14ac:dyDescent="0.25">
      <c r="B7" s="94">
        <f>'Entrar Dades'!Q6</f>
        <v>9.5</v>
      </c>
      <c r="C7" s="83">
        <f>'Entrar Dades'!R6</f>
        <v>2</v>
      </c>
      <c r="D7" s="83">
        <f>'Entrar Dades'!S6</f>
        <v>3</v>
      </c>
      <c r="E7" s="89">
        <f>'Entrar Dades'!T6</f>
        <v>4.5</v>
      </c>
      <c r="F7" s="74" t="str">
        <f>'Entrar Dades'!U6</f>
        <v xml:space="preserve"> </v>
      </c>
      <c r="G7" s="67" t="str">
        <f>'Entrar Dades'!V6</f>
        <v xml:space="preserve"> </v>
      </c>
      <c r="H7" s="67" t="str">
        <f>'Entrar Dades'!W6</f>
        <v xml:space="preserve"> </v>
      </c>
      <c r="I7" s="79" t="str">
        <f>'Entrar Dades'!X6</f>
        <v xml:space="preserve"> </v>
      </c>
      <c r="J7" s="94">
        <f>'Entrar Dades'!Z6</f>
        <v>2</v>
      </c>
      <c r="K7" s="79" t="str">
        <f>'Entrar Dades'!AA6</f>
        <v xml:space="preserve"> </v>
      </c>
      <c r="L7" s="86" t="str">
        <f>'Entrar Dades'!AC6</f>
        <v xml:space="preserve">3 </v>
      </c>
      <c r="M7" s="96">
        <f>'Entrar Dades'!AE6</f>
        <v>2</v>
      </c>
      <c r="N7" s="83">
        <f>'Entrar Dades'!AF6</f>
        <v>0</v>
      </c>
      <c r="O7" s="83">
        <f>'Entrar Dades'!AG6</f>
        <v>2</v>
      </c>
      <c r="P7" s="89">
        <f>'Entrar Dades'!AH6</f>
        <v>0</v>
      </c>
      <c r="Q7" s="74" t="str">
        <f>'Entrar Dades'!AI6</f>
        <v xml:space="preserve"> </v>
      </c>
      <c r="R7" s="67" t="str">
        <f>'Entrar Dades'!AJ6</f>
        <v xml:space="preserve"> </v>
      </c>
      <c r="S7" s="67" t="str">
        <f>'Entrar Dades'!AK6</f>
        <v xml:space="preserve"> </v>
      </c>
      <c r="T7" s="79" t="str">
        <f>'Entrar Dades'!AL6</f>
        <v xml:space="preserve"> </v>
      </c>
      <c r="U7" s="74" t="str">
        <f>'Entrar Dades'!AN6</f>
        <v xml:space="preserve"> </v>
      </c>
      <c r="V7" s="67" t="str">
        <f>'Entrar Dades'!AO6</f>
        <v xml:space="preserve"> </v>
      </c>
      <c r="W7" s="67" t="str">
        <f>'Entrar Dades'!AP6</f>
        <v xml:space="preserve"> </v>
      </c>
      <c r="X7" s="79" t="str">
        <f>'Entrar Dades'!AQ6</f>
        <v xml:space="preserve"> </v>
      </c>
      <c r="Y7" s="79" t="str">
        <f>'Entrar Dades'!AR6</f>
        <v xml:space="preserve"> </v>
      </c>
      <c r="Z7" s="69">
        <f>'Entrar Dades'!AS6</f>
        <v>4</v>
      </c>
      <c r="AA7" s="72">
        <f>'Entrar Dades'!AT6</f>
        <v>1</v>
      </c>
    </row>
    <row r="8" spans="2:39" x14ac:dyDescent="0.25">
      <c r="B8" s="94">
        <f>'Entrar Dades'!Q7</f>
        <v>9.5</v>
      </c>
      <c r="C8" s="83">
        <f>'Entrar Dades'!R7</f>
        <v>2</v>
      </c>
      <c r="D8" s="83">
        <f>'Entrar Dades'!S7</f>
        <v>5</v>
      </c>
      <c r="E8" s="89">
        <f>'Entrar Dades'!T7</f>
        <v>2.5</v>
      </c>
      <c r="F8" s="74" t="str">
        <f>'Entrar Dades'!U7</f>
        <v xml:space="preserve"> </v>
      </c>
      <c r="G8" s="67" t="str">
        <f>'Entrar Dades'!V7</f>
        <v xml:space="preserve"> </v>
      </c>
      <c r="H8" s="67" t="str">
        <f>'Entrar Dades'!W7</f>
        <v>X</v>
      </c>
      <c r="I8" s="79" t="str">
        <f>'Entrar Dades'!X7</f>
        <v xml:space="preserve"> </v>
      </c>
      <c r="J8" s="94">
        <f>'Entrar Dades'!Z7</f>
        <v>0.5</v>
      </c>
      <c r="K8" s="79" t="str">
        <f>'Entrar Dades'!AA7</f>
        <v xml:space="preserve"> </v>
      </c>
      <c r="L8" s="86" t="str">
        <f>'Entrar Dades'!AC7</f>
        <v xml:space="preserve">4 </v>
      </c>
      <c r="M8" s="96">
        <f>'Entrar Dades'!AE7</f>
        <v>21</v>
      </c>
      <c r="N8" s="83">
        <f>'Entrar Dades'!AF7</f>
        <v>10</v>
      </c>
      <c r="O8" s="83">
        <f>'Entrar Dades'!AG7</f>
        <v>10</v>
      </c>
      <c r="P8" s="89">
        <f>'Entrar Dades'!AH7</f>
        <v>1</v>
      </c>
      <c r="Q8" s="74" t="str">
        <f>'Entrar Dades'!AI7</f>
        <v>X</v>
      </c>
      <c r="R8" s="67" t="str">
        <f>'Entrar Dades'!AJ7</f>
        <v>X</v>
      </c>
      <c r="S8" s="67" t="str">
        <f>'Entrar Dades'!AK7</f>
        <v>X</v>
      </c>
      <c r="T8" s="79" t="str">
        <f>'Entrar Dades'!AL7</f>
        <v xml:space="preserve"> </v>
      </c>
      <c r="U8" s="74" t="str">
        <f>'Entrar Dades'!AN7</f>
        <v xml:space="preserve"> </v>
      </c>
      <c r="V8" s="67" t="str">
        <f>'Entrar Dades'!AO7</f>
        <v xml:space="preserve"> </v>
      </c>
      <c r="W8" s="67" t="str">
        <f>'Entrar Dades'!AP7</f>
        <v xml:space="preserve"> </v>
      </c>
      <c r="X8" s="79" t="str">
        <f>'Entrar Dades'!AQ7</f>
        <v xml:space="preserve"> </v>
      </c>
      <c r="Y8" s="79" t="str">
        <f>'Entrar Dades'!AR7</f>
        <v xml:space="preserve"> </v>
      </c>
      <c r="Z8" s="69">
        <f>'Entrar Dades'!AS7</f>
        <v>2</v>
      </c>
      <c r="AA8" s="72">
        <f>'Entrar Dades'!AT7</f>
        <v>4</v>
      </c>
    </row>
    <row r="9" spans="2:39" x14ac:dyDescent="0.25">
      <c r="B9" s="94">
        <f>'Entrar Dades'!Q8</f>
        <v>5.5</v>
      </c>
      <c r="C9" s="83">
        <f>'Entrar Dades'!R8</f>
        <v>0</v>
      </c>
      <c r="D9" s="83">
        <f>'Entrar Dades'!S8</f>
        <v>5</v>
      </c>
      <c r="E9" s="89">
        <f>'Entrar Dades'!T8</f>
        <v>0.5</v>
      </c>
      <c r="F9" s="74" t="str">
        <f>'Entrar Dades'!U8</f>
        <v xml:space="preserve"> </v>
      </c>
      <c r="G9" s="67" t="str">
        <f>'Entrar Dades'!V8</f>
        <v xml:space="preserve"> </v>
      </c>
      <c r="H9" s="67" t="str">
        <f>'Entrar Dades'!W8</f>
        <v>X</v>
      </c>
      <c r="I9" s="79" t="str">
        <f>'Entrar Dades'!X8</f>
        <v xml:space="preserve"> </v>
      </c>
      <c r="J9" s="94">
        <f>'Entrar Dades'!Z8</f>
        <v>5.5</v>
      </c>
      <c r="K9" s="79" t="str">
        <f>'Entrar Dades'!AA8</f>
        <v>X</v>
      </c>
      <c r="L9" s="86" t="str">
        <f>'Entrar Dades'!AC8</f>
        <v xml:space="preserve">5 </v>
      </c>
      <c r="M9" s="96">
        <f>'Entrar Dades'!AE8</f>
        <v>0</v>
      </c>
      <c r="N9" s="83">
        <f>'Entrar Dades'!AF8</f>
        <v>0</v>
      </c>
      <c r="O9" s="83">
        <f>'Entrar Dades'!AG8</f>
        <v>0</v>
      </c>
      <c r="P9" s="89">
        <f>'Entrar Dades'!AH8</f>
        <v>0</v>
      </c>
      <c r="Q9" s="74" t="str">
        <f>'Entrar Dades'!AI8</f>
        <v xml:space="preserve"> </v>
      </c>
      <c r="R9" s="67" t="str">
        <f>'Entrar Dades'!AJ8</f>
        <v xml:space="preserve"> </v>
      </c>
      <c r="S9" s="67" t="str">
        <f>'Entrar Dades'!AK8</f>
        <v xml:space="preserve"> </v>
      </c>
      <c r="T9" s="79" t="str">
        <f>'Entrar Dades'!AL8</f>
        <v xml:space="preserve"> </v>
      </c>
      <c r="U9" s="74" t="str">
        <f>'Entrar Dades'!AN8</f>
        <v>X</v>
      </c>
      <c r="V9" s="67" t="str">
        <f>'Entrar Dades'!AO8</f>
        <v xml:space="preserve"> </v>
      </c>
      <c r="W9" s="67" t="str">
        <f>'Entrar Dades'!AP8</f>
        <v xml:space="preserve"> </v>
      </c>
      <c r="X9" s="79" t="str">
        <f>'Entrar Dades'!AQ8</f>
        <v xml:space="preserve"> </v>
      </c>
      <c r="Y9" s="79" t="str">
        <f>'Entrar Dades'!AR8</f>
        <v xml:space="preserve"> </v>
      </c>
      <c r="Z9" s="69">
        <f>'Entrar Dades'!AS8</f>
        <v>7</v>
      </c>
      <c r="AA9" s="72">
        <f>'Entrar Dades'!AT8</f>
        <v>1</v>
      </c>
    </row>
    <row r="10" spans="2:39" x14ac:dyDescent="0.25">
      <c r="B10" s="94">
        <f>'Entrar Dades'!Q9</f>
        <v>23</v>
      </c>
      <c r="C10" s="83">
        <f>'Entrar Dades'!R9</f>
        <v>13</v>
      </c>
      <c r="D10" s="83">
        <f>'Entrar Dades'!S9</f>
        <v>1</v>
      </c>
      <c r="E10" s="89">
        <f>'Entrar Dades'!T9</f>
        <v>9</v>
      </c>
      <c r="F10" s="74" t="str">
        <f>'Entrar Dades'!U9</f>
        <v>X</v>
      </c>
      <c r="G10" s="67" t="str">
        <f>'Entrar Dades'!V9</f>
        <v>X</v>
      </c>
      <c r="H10" s="67" t="str">
        <f>'Entrar Dades'!W9</f>
        <v xml:space="preserve"> </v>
      </c>
      <c r="I10" s="79" t="str">
        <f>'Entrar Dades'!X9</f>
        <v>X</v>
      </c>
      <c r="J10" s="94">
        <f>'Entrar Dades'!Z9</f>
        <v>4.5</v>
      </c>
      <c r="K10" s="79" t="str">
        <f>'Entrar Dades'!AA9</f>
        <v>X</v>
      </c>
      <c r="L10" s="86" t="str">
        <f>'Entrar Dades'!AC9</f>
        <v xml:space="preserve">6 </v>
      </c>
      <c r="M10" s="96">
        <f>'Entrar Dades'!AE9</f>
        <v>50</v>
      </c>
      <c r="N10" s="83">
        <f>'Entrar Dades'!AF9</f>
        <v>16</v>
      </c>
      <c r="O10" s="83">
        <f>'Entrar Dades'!AG9</f>
        <v>15</v>
      </c>
      <c r="P10" s="89">
        <f>'Entrar Dades'!AH9</f>
        <v>19</v>
      </c>
      <c r="Q10" s="74" t="str">
        <f>'Entrar Dades'!AI9</f>
        <v>X</v>
      </c>
      <c r="R10" s="67" t="str">
        <f>'Entrar Dades'!AJ9</f>
        <v>X</v>
      </c>
      <c r="S10" s="67" t="str">
        <f>'Entrar Dades'!AK9</f>
        <v>X</v>
      </c>
      <c r="T10" s="79" t="str">
        <f>'Entrar Dades'!AL9</f>
        <v>X</v>
      </c>
      <c r="U10" s="74" t="str">
        <f>'Entrar Dades'!AN9</f>
        <v xml:space="preserve"> </v>
      </c>
      <c r="V10" s="67" t="str">
        <f>'Entrar Dades'!AO9</f>
        <v>X</v>
      </c>
      <c r="W10" s="67" t="str">
        <f>'Entrar Dades'!AP9</f>
        <v xml:space="preserve"> </v>
      </c>
      <c r="X10" s="79" t="str">
        <f>'Entrar Dades'!AQ9</f>
        <v xml:space="preserve"> </v>
      </c>
      <c r="Y10" s="79" t="str">
        <f>'Entrar Dades'!AR9</f>
        <v xml:space="preserve"> </v>
      </c>
      <c r="Z10" s="69">
        <f>'Entrar Dades'!AS9</f>
        <v>0</v>
      </c>
      <c r="AA10" s="72">
        <f>'Entrar Dades'!AT9</f>
        <v>9</v>
      </c>
    </row>
    <row r="11" spans="2:39" x14ac:dyDescent="0.25">
      <c r="B11" s="94">
        <f>'Entrar Dades'!Q10</f>
        <v>4.5</v>
      </c>
      <c r="C11" s="83">
        <f>'Entrar Dades'!R10</f>
        <v>2</v>
      </c>
      <c r="D11" s="83">
        <f>'Entrar Dades'!S10</f>
        <v>0</v>
      </c>
      <c r="E11" s="89">
        <f>'Entrar Dades'!T10</f>
        <v>2.5</v>
      </c>
      <c r="F11" s="74" t="str">
        <f>'Entrar Dades'!U10</f>
        <v xml:space="preserve"> </v>
      </c>
      <c r="G11" s="67" t="str">
        <f>'Entrar Dades'!V10</f>
        <v xml:space="preserve"> </v>
      </c>
      <c r="H11" s="67" t="str">
        <f>'Entrar Dades'!W10</f>
        <v xml:space="preserve"> </v>
      </c>
      <c r="I11" s="79" t="str">
        <f>'Entrar Dades'!X10</f>
        <v xml:space="preserve"> </v>
      </c>
      <c r="J11" s="94">
        <f>'Entrar Dades'!Z10</f>
        <v>1</v>
      </c>
      <c r="K11" s="79" t="str">
        <f>'Entrar Dades'!AA10</f>
        <v xml:space="preserve"> </v>
      </c>
      <c r="L11" s="86" t="str">
        <f>'Entrar Dades'!AC10</f>
        <v xml:space="preserve">7 </v>
      </c>
      <c r="M11" s="96">
        <f>'Entrar Dades'!AE10</f>
        <v>34</v>
      </c>
      <c r="N11" s="83">
        <f>'Entrar Dades'!AF10</f>
        <v>9</v>
      </c>
      <c r="O11" s="83">
        <f>'Entrar Dades'!AG10</f>
        <v>11</v>
      </c>
      <c r="P11" s="89">
        <f>'Entrar Dades'!AH10</f>
        <v>14</v>
      </c>
      <c r="Q11" s="74" t="str">
        <f>'Entrar Dades'!AI10</f>
        <v>X</v>
      </c>
      <c r="R11" s="67" t="str">
        <f>'Entrar Dades'!AJ10</f>
        <v>X</v>
      </c>
      <c r="S11" s="67" t="str">
        <f>'Entrar Dades'!AK10</f>
        <v>X</v>
      </c>
      <c r="T11" s="79" t="str">
        <f>'Entrar Dades'!AL10</f>
        <v>X</v>
      </c>
      <c r="U11" s="74" t="str">
        <f>'Entrar Dades'!AN10</f>
        <v xml:space="preserve"> </v>
      </c>
      <c r="V11" s="67" t="str">
        <f>'Entrar Dades'!AO10</f>
        <v>X</v>
      </c>
      <c r="W11" s="67" t="str">
        <f>'Entrar Dades'!AP10</f>
        <v xml:space="preserve"> </v>
      </c>
      <c r="X11" s="79" t="str">
        <f>'Entrar Dades'!AQ10</f>
        <v xml:space="preserve"> </v>
      </c>
      <c r="Y11" s="79" t="str">
        <f>'Entrar Dades'!AR10</f>
        <v xml:space="preserve"> </v>
      </c>
      <c r="Z11" s="69">
        <f>'Entrar Dades'!AS10</f>
        <v>1</v>
      </c>
      <c r="AA11" s="72">
        <f>'Entrar Dades'!AT10</f>
        <v>8</v>
      </c>
    </row>
    <row r="12" spans="2:39" x14ac:dyDescent="0.25">
      <c r="B12" s="94">
        <f>'Entrar Dades'!Q11</f>
        <v>7</v>
      </c>
      <c r="C12" s="83">
        <f>'Entrar Dades'!R11</f>
        <v>1</v>
      </c>
      <c r="D12" s="83">
        <f>'Entrar Dades'!S11</f>
        <v>4</v>
      </c>
      <c r="E12" s="89">
        <f>'Entrar Dades'!T11</f>
        <v>2</v>
      </c>
      <c r="F12" s="74" t="str">
        <f>'Entrar Dades'!U11</f>
        <v xml:space="preserve"> </v>
      </c>
      <c r="G12" s="67" t="str">
        <f>'Entrar Dades'!V11</f>
        <v xml:space="preserve"> </v>
      </c>
      <c r="H12" s="67" t="str">
        <f>'Entrar Dades'!W11</f>
        <v xml:space="preserve"> </v>
      </c>
      <c r="I12" s="79" t="str">
        <f>'Entrar Dades'!X11</f>
        <v xml:space="preserve"> </v>
      </c>
      <c r="J12" s="94">
        <f>'Entrar Dades'!Z11</f>
        <v>3.5</v>
      </c>
      <c r="K12" s="79" t="str">
        <f>'Entrar Dades'!AA11</f>
        <v xml:space="preserve"> </v>
      </c>
      <c r="L12" s="86" t="str">
        <f>'Entrar Dades'!AC11</f>
        <v xml:space="preserve">8 </v>
      </c>
      <c r="M12" s="96">
        <f>'Entrar Dades'!AE11</f>
        <v>1</v>
      </c>
      <c r="N12" s="83">
        <f>'Entrar Dades'!AF11</f>
        <v>1</v>
      </c>
      <c r="O12" s="83">
        <f>'Entrar Dades'!AG11</f>
        <v>0</v>
      </c>
      <c r="P12" s="89">
        <f>'Entrar Dades'!AH11</f>
        <v>0</v>
      </c>
      <c r="Q12" s="74" t="str">
        <f>'Entrar Dades'!AI11</f>
        <v xml:space="preserve"> </v>
      </c>
      <c r="R12" s="67" t="str">
        <f>'Entrar Dades'!AJ11</f>
        <v xml:space="preserve"> </v>
      </c>
      <c r="S12" s="67" t="str">
        <f>'Entrar Dades'!AK11</f>
        <v xml:space="preserve"> </v>
      </c>
      <c r="T12" s="79" t="str">
        <f>'Entrar Dades'!AL11</f>
        <v xml:space="preserve"> </v>
      </c>
      <c r="U12" s="74" t="str">
        <f>'Entrar Dades'!AN11</f>
        <v>X</v>
      </c>
      <c r="V12" s="67" t="str">
        <f>'Entrar Dades'!AO11</f>
        <v xml:space="preserve"> </v>
      </c>
      <c r="W12" s="67" t="str">
        <f>'Entrar Dades'!AP11</f>
        <v xml:space="preserve"> </v>
      </c>
      <c r="X12" s="79" t="str">
        <f>'Entrar Dades'!AQ11</f>
        <v xml:space="preserve"> </v>
      </c>
      <c r="Y12" s="79" t="str">
        <f>'Entrar Dades'!AR11</f>
        <v xml:space="preserve"> </v>
      </c>
      <c r="Z12" s="69">
        <f>'Entrar Dades'!AS11</f>
        <v>5</v>
      </c>
      <c r="AA12" s="72">
        <f>'Entrar Dades'!AT11</f>
        <v>1</v>
      </c>
    </row>
    <row r="13" spans="2:39" x14ac:dyDescent="0.25">
      <c r="B13" s="94">
        <f>'Entrar Dades'!Q12</f>
        <v>17</v>
      </c>
      <c r="C13" s="83">
        <f>'Entrar Dades'!R12</f>
        <v>8</v>
      </c>
      <c r="D13" s="83">
        <f>'Entrar Dades'!S12</f>
        <v>4</v>
      </c>
      <c r="E13" s="89">
        <f>'Entrar Dades'!T12</f>
        <v>5</v>
      </c>
      <c r="F13" s="74" t="str">
        <f>'Entrar Dades'!U12</f>
        <v>X</v>
      </c>
      <c r="G13" s="67" t="str">
        <f>'Entrar Dades'!V12</f>
        <v>X</v>
      </c>
      <c r="H13" s="67" t="str">
        <f>'Entrar Dades'!W12</f>
        <v xml:space="preserve"> </v>
      </c>
      <c r="I13" s="79" t="str">
        <f>'Entrar Dades'!X12</f>
        <v>X</v>
      </c>
      <c r="J13" s="94">
        <f>'Entrar Dades'!Z12</f>
        <v>6.5</v>
      </c>
      <c r="K13" s="79" t="str">
        <f>'Entrar Dades'!AA12</f>
        <v>X</v>
      </c>
      <c r="L13" s="86" t="str">
        <f>'Entrar Dades'!AC12</f>
        <v xml:space="preserve">9 </v>
      </c>
      <c r="M13" s="96">
        <f>'Entrar Dades'!AE12</f>
        <v>1</v>
      </c>
      <c r="N13" s="83">
        <f>'Entrar Dades'!AF12</f>
        <v>0</v>
      </c>
      <c r="O13" s="83">
        <f>'Entrar Dades'!AG12</f>
        <v>1</v>
      </c>
      <c r="P13" s="89">
        <f>'Entrar Dades'!AH12</f>
        <v>0</v>
      </c>
      <c r="Q13" s="74" t="str">
        <f>'Entrar Dades'!AI12</f>
        <v xml:space="preserve"> </v>
      </c>
      <c r="R13" s="67" t="str">
        <f>'Entrar Dades'!AJ12</f>
        <v xml:space="preserve"> </v>
      </c>
      <c r="S13" s="67" t="str">
        <f>'Entrar Dades'!AK12</f>
        <v xml:space="preserve"> </v>
      </c>
      <c r="T13" s="79" t="str">
        <f>'Entrar Dades'!AL12</f>
        <v xml:space="preserve"> </v>
      </c>
      <c r="U13" s="74" t="str">
        <f>'Entrar Dades'!AN12</f>
        <v xml:space="preserve"> </v>
      </c>
      <c r="V13" s="67" t="str">
        <f>'Entrar Dades'!AO12</f>
        <v xml:space="preserve"> </v>
      </c>
      <c r="W13" s="67" t="str">
        <f>'Entrar Dades'!AP12</f>
        <v xml:space="preserve"> </v>
      </c>
      <c r="X13" s="79" t="str">
        <f>'Entrar Dades'!AQ12</f>
        <v>X</v>
      </c>
      <c r="Y13" s="79" t="str">
        <f>'Entrar Dades'!AR12</f>
        <v xml:space="preserve"> </v>
      </c>
      <c r="Z13" s="69">
        <f>'Entrar Dades'!AS12</f>
        <v>5</v>
      </c>
      <c r="AA13" s="72">
        <f>'Entrar Dades'!AT12</f>
        <v>4</v>
      </c>
    </row>
    <row r="14" spans="2:39" x14ac:dyDescent="0.25">
      <c r="B14" s="94">
        <f>'Entrar Dades'!Q13</f>
        <v>8</v>
      </c>
      <c r="C14" s="83">
        <f>'Entrar Dades'!R13</f>
        <v>2</v>
      </c>
      <c r="D14" s="83">
        <f>'Entrar Dades'!S13</f>
        <v>2</v>
      </c>
      <c r="E14" s="89">
        <f>'Entrar Dades'!T13</f>
        <v>4</v>
      </c>
      <c r="F14" s="74" t="str">
        <f>'Entrar Dades'!U13</f>
        <v xml:space="preserve"> </v>
      </c>
      <c r="G14" s="67" t="str">
        <f>'Entrar Dades'!V13</f>
        <v xml:space="preserve"> </v>
      </c>
      <c r="H14" s="67" t="str">
        <f>'Entrar Dades'!W13</f>
        <v xml:space="preserve"> </v>
      </c>
      <c r="I14" s="79" t="str">
        <f>'Entrar Dades'!X13</f>
        <v xml:space="preserve"> </v>
      </c>
      <c r="J14" s="94">
        <f>'Entrar Dades'!Z13</f>
        <v>3</v>
      </c>
      <c r="K14" s="79" t="str">
        <f>'Entrar Dades'!AA13</f>
        <v xml:space="preserve"> </v>
      </c>
      <c r="L14" s="86" t="str">
        <f>'Entrar Dades'!AC13</f>
        <v xml:space="preserve">10 </v>
      </c>
      <c r="M14" s="96">
        <f>'Entrar Dades'!AE13</f>
        <v>18</v>
      </c>
      <c r="N14" s="83">
        <f>'Entrar Dades'!AF13</f>
        <v>10</v>
      </c>
      <c r="O14" s="83">
        <f>'Entrar Dades'!AG13</f>
        <v>7</v>
      </c>
      <c r="P14" s="89">
        <f>'Entrar Dades'!AH13</f>
        <v>1</v>
      </c>
      <c r="Q14" s="74" t="str">
        <f>'Entrar Dades'!AI13</f>
        <v>X</v>
      </c>
      <c r="R14" s="67" t="str">
        <f>'Entrar Dades'!AJ13</f>
        <v>X</v>
      </c>
      <c r="S14" s="67" t="str">
        <f>'Entrar Dades'!AK13</f>
        <v>X</v>
      </c>
      <c r="T14" s="79" t="str">
        <f>'Entrar Dades'!AL13</f>
        <v xml:space="preserve"> </v>
      </c>
      <c r="U14" s="74" t="str">
        <f>'Entrar Dades'!AN13</f>
        <v xml:space="preserve"> </v>
      </c>
      <c r="V14" s="67" t="str">
        <f>'Entrar Dades'!AO13</f>
        <v xml:space="preserve"> </v>
      </c>
      <c r="W14" s="67" t="str">
        <f>'Entrar Dades'!AP13</f>
        <v xml:space="preserve"> </v>
      </c>
      <c r="X14" s="79" t="str">
        <f>'Entrar Dades'!AQ13</f>
        <v xml:space="preserve"> </v>
      </c>
      <c r="Y14" s="79" t="str">
        <f>'Entrar Dades'!AR13</f>
        <v xml:space="preserve"> </v>
      </c>
      <c r="Z14" s="69">
        <f>'Entrar Dades'!AS13</f>
        <v>4</v>
      </c>
      <c r="AA14" s="72">
        <f>'Entrar Dades'!AT13</f>
        <v>2</v>
      </c>
    </row>
    <row r="15" spans="2:39" x14ac:dyDescent="0.25">
      <c r="B15" s="94">
        <f>'Entrar Dades'!Q14</f>
        <v>12</v>
      </c>
      <c r="C15" s="83">
        <f>'Entrar Dades'!R14</f>
        <v>1</v>
      </c>
      <c r="D15" s="83">
        <f>'Entrar Dades'!S14</f>
        <v>9</v>
      </c>
      <c r="E15" s="89">
        <f>'Entrar Dades'!T14</f>
        <v>2</v>
      </c>
      <c r="F15" s="74" t="str">
        <f>'Entrar Dades'!U14</f>
        <v>X</v>
      </c>
      <c r="G15" s="67" t="str">
        <f>'Entrar Dades'!V14</f>
        <v xml:space="preserve"> </v>
      </c>
      <c r="H15" s="67" t="str">
        <f>'Entrar Dades'!W14</f>
        <v>X</v>
      </c>
      <c r="I15" s="79" t="str">
        <f>'Entrar Dades'!X14</f>
        <v xml:space="preserve"> </v>
      </c>
      <c r="J15" s="94">
        <f>'Entrar Dades'!Z14</f>
        <v>4</v>
      </c>
      <c r="K15" s="79" t="str">
        <f>'Entrar Dades'!AA14</f>
        <v>X</v>
      </c>
      <c r="L15" s="86" t="str">
        <f>'Entrar Dades'!AC14</f>
        <v xml:space="preserve">11 </v>
      </c>
      <c r="M15" s="96">
        <f>'Entrar Dades'!AE14</f>
        <v>4</v>
      </c>
      <c r="N15" s="83">
        <f>'Entrar Dades'!AF14</f>
        <v>3</v>
      </c>
      <c r="O15" s="83">
        <f>'Entrar Dades'!AG14</f>
        <v>1</v>
      </c>
      <c r="P15" s="89">
        <f>'Entrar Dades'!AH14</f>
        <v>0</v>
      </c>
      <c r="Q15" s="74" t="str">
        <f>'Entrar Dades'!AI14</f>
        <v xml:space="preserve"> </v>
      </c>
      <c r="R15" s="67" t="str">
        <f>'Entrar Dades'!AJ14</f>
        <v xml:space="preserve"> </v>
      </c>
      <c r="S15" s="67" t="str">
        <f>'Entrar Dades'!AK14</f>
        <v xml:space="preserve"> </v>
      </c>
      <c r="T15" s="79" t="str">
        <f>'Entrar Dades'!AL14</f>
        <v xml:space="preserve"> </v>
      </c>
      <c r="U15" s="74" t="str">
        <f>'Entrar Dades'!AN14</f>
        <v>X</v>
      </c>
      <c r="V15" s="67" t="str">
        <f>'Entrar Dades'!AO14</f>
        <v xml:space="preserve"> </v>
      </c>
      <c r="W15" s="67" t="str">
        <f>'Entrar Dades'!AP14</f>
        <v xml:space="preserve"> </v>
      </c>
      <c r="X15" s="79" t="str">
        <f>'Entrar Dades'!AQ14</f>
        <v xml:space="preserve"> </v>
      </c>
      <c r="Y15" s="79" t="str">
        <f>'Entrar Dades'!AR14</f>
        <v xml:space="preserve"> </v>
      </c>
      <c r="Z15" s="69">
        <f>'Entrar Dades'!AS14</f>
        <v>6</v>
      </c>
      <c r="AA15" s="72">
        <f>'Entrar Dades'!AT14</f>
        <v>0</v>
      </c>
    </row>
    <row r="16" spans="2:39" x14ac:dyDescent="0.25">
      <c r="B16" s="94">
        <f>'Entrar Dades'!Q15</f>
        <v>3</v>
      </c>
      <c r="C16" s="83">
        <f>'Entrar Dades'!R15</f>
        <v>0</v>
      </c>
      <c r="D16" s="83">
        <f>'Entrar Dades'!S15</f>
        <v>2</v>
      </c>
      <c r="E16" s="89">
        <f>'Entrar Dades'!T15</f>
        <v>1</v>
      </c>
      <c r="F16" s="74" t="str">
        <f>'Entrar Dades'!U15</f>
        <v xml:space="preserve"> </v>
      </c>
      <c r="G16" s="67" t="str">
        <f>'Entrar Dades'!V15</f>
        <v xml:space="preserve"> </v>
      </c>
      <c r="H16" s="67" t="str">
        <f>'Entrar Dades'!W15</f>
        <v xml:space="preserve"> </v>
      </c>
      <c r="I16" s="79" t="str">
        <f>'Entrar Dades'!X15</f>
        <v xml:space="preserve"> </v>
      </c>
      <c r="J16" s="94">
        <f>'Entrar Dades'!Z15</f>
        <v>1</v>
      </c>
      <c r="K16" s="79" t="str">
        <f>'Entrar Dades'!AA15</f>
        <v xml:space="preserve"> </v>
      </c>
      <c r="L16" s="86" t="str">
        <f>'Entrar Dades'!AC15</f>
        <v xml:space="preserve">12 </v>
      </c>
      <c r="M16" s="96">
        <f>'Entrar Dades'!AE15</f>
        <v>0</v>
      </c>
      <c r="N16" s="83">
        <f>'Entrar Dades'!AF15</f>
        <v>0</v>
      </c>
      <c r="O16" s="83">
        <f>'Entrar Dades'!AG15</f>
        <v>0</v>
      </c>
      <c r="P16" s="89">
        <f>'Entrar Dades'!AH15</f>
        <v>0</v>
      </c>
      <c r="Q16" s="74" t="str">
        <f>'Entrar Dades'!AI15</f>
        <v xml:space="preserve"> </v>
      </c>
      <c r="R16" s="67" t="str">
        <f>'Entrar Dades'!AJ15</f>
        <v xml:space="preserve"> </v>
      </c>
      <c r="S16" s="67" t="str">
        <f>'Entrar Dades'!AK15</f>
        <v xml:space="preserve"> </v>
      </c>
      <c r="T16" s="79" t="str">
        <f>'Entrar Dades'!AL15</f>
        <v xml:space="preserve"> </v>
      </c>
      <c r="U16" s="74" t="str">
        <f>'Entrar Dades'!AN15</f>
        <v xml:space="preserve"> </v>
      </c>
      <c r="V16" s="67" t="str">
        <f>'Entrar Dades'!AO15</f>
        <v xml:space="preserve"> </v>
      </c>
      <c r="W16" s="67" t="str">
        <f>'Entrar Dades'!AP15</f>
        <v xml:space="preserve"> </v>
      </c>
      <c r="X16" s="79" t="str">
        <f>'Entrar Dades'!AQ15</f>
        <v xml:space="preserve"> </v>
      </c>
      <c r="Y16" s="79" t="str">
        <f>'Entrar Dades'!AR15</f>
        <v xml:space="preserve"> </v>
      </c>
      <c r="Z16" s="69">
        <f>'Entrar Dades'!AS15</f>
        <v>3</v>
      </c>
      <c r="AA16" s="72">
        <f>'Entrar Dades'!AT15</f>
        <v>2</v>
      </c>
    </row>
    <row r="17" spans="2:27" x14ac:dyDescent="0.25">
      <c r="B17" s="94">
        <f>'Entrar Dades'!Q16</f>
        <v>5</v>
      </c>
      <c r="C17" s="83">
        <f>'Entrar Dades'!R16</f>
        <v>0</v>
      </c>
      <c r="D17" s="83">
        <f>'Entrar Dades'!S16</f>
        <v>4</v>
      </c>
      <c r="E17" s="89">
        <f>'Entrar Dades'!T16</f>
        <v>1</v>
      </c>
      <c r="F17" s="74" t="str">
        <f>'Entrar Dades'!U16</f>
        <v xml:space="preserve"> </v>
      </c>
      <c r="G17" s="67" t="str">
        <f>'Entrar Dades'!V16</f>
        <v xml:space="preserve"> </v>
      </c>
      <c r="H17" s="67" t="str">
        <f>'Entrar Dades'!W16</f>
        <v xml:space="preserve"> </v>
      </c>
      <c r="I17" s="79" t="str">
        <f>'Entrar Dades'!X16</f>
        <v xml:space="preserve"> </v>
      </c>
      <c r="J17" s="94">
        <f>'Entrar Dades'!Z16</f>
        <v>1</v>
      </c>
      <c r="K17" s="79" t="str">
        <f>'Entrar Dades'!AA16</f>
        <v xml:space="preserve"> </v>
      </c>
      <c r="L17" s="86" t="str">
        <f>'Entrar Dades'!AC16</f>
        <v xml:space="preserve">13 </v>
      </c>
      <c r="M17" s="96">
        <f>'Entrar Dades'!AE16</f>
        <v>1</v>
      </c>
      <c r="N17" s="83">
        <f>'Entrar Dades'!AF16</f>
        <v>0</v>
      </c>
      <c r="O17" s="83">
        <f>'Entrar Dades'!AG16</f>
        <v>0</v>
      </c>
      <c r="P17" s="89">
        <f>'Entrar Dades'!AH16</f>
        <v>1</v>
      </c>
      <c r="Q17" s="74" t="str">
        <f>'Entrar Dades'!AI16</f>
        <v xml:space="preserve"> </v>
      </c>
      <c r="R17" s="67" t="str">
        <f>'Entrar Dades'!AJ16</f>
        <v xml:space="preserve"> </v>
      </c>
      <c r="S17" s="67" t="str">
        <f>'Entrar Dades'!AK16</f>
        <v xml:space="preserve"> </v>
      </c>
      <c r="T17" s="79" t="str">
        <f>'Entrar Dades'!AL16</f>
        <v xml:space="preserve"> </v>
      </c>
      <c r="U17" s="74" t="str">
        <f>'Entrar Dades'!AN16</f>
        <v>X</v>
      </c>
      <c r="V17" s="67" t="str">
        <f>'Entrar Dades'!AO16</f>
        <v xml:space="preserve"> </v>
      </c>
      <c r="W17" s="67" t="str">
        <f>'Entrar Dades'!AP16</f>
        <v xml:space="preserve"> </v>
      </c>
      <c r="X17" s="79" t="str">
        <f>'Entrar Dades'!AQ16</f>
        <v xml:space="preserve"> </v>
      </c>
      <c r="Y17" s="79" t="str">
        <f>'Entrar Dades'!AR16</f>
        <v xml:space="preserve"> </v>
      </c>
      <c r="Z17" s="69">
        <f>'Entrar Dades'!AS16</f>
        <v>4</v>
      </c>
      <c r="AA17" s="72">
        <f>'Entrar Dades'!AT16</f>
        <v>0</v>
      </c>
    </row>
    <row r="18" spans="2:27" x14ac:dyDescent="0.25">
      <c r="B18" s="94">
        <f>'Entrar Dades'!Q17</f>
        <v>8</v>
      </c>
      <c r="C18" s="83">
        <f>'Entrar Dades'!R17</f>
        <v>1</v>
      </c>
      <c r="D18" s="83">
        <f>'Entrar Dades'!S17</f>
        <v>7</v>
      </c>
      <c r="E18" s="89">
        <f>'Entrar Dades'!T17</f>
        <v>0</v>
      </c>
      <c r="F18" s="74" t="str">
        <f>'Entrar Dades'!U17</f>
        <v xml:space="preserve"> </v>
      </c>
      <c r="G18" s="67" t="str">
        <f>'Entrar Dades'!V17</f>
        <v xml:space="preserve"> </v>
      </c>
      <c r="H18" s="67" t="str">
        <f>'Entrar Dades'!W17</f>
        <v>X</v>
      </c>
      <c r="I18" s="79" t="str">
        <f>'Entrar Dades'!X17</f>
        <v xml:space="preserve"> </v>
      </c>
      <c r="J18" s="94">
        <f>'Entrar Dades'!Z17</f>
        <v>2.5</v>
      </c>
      <c r="K18" s="79" t="str">
        <f>'Entrar Dades'!AA17</f>
        <v xml:space="preserve"> </v>
      </c>
      <c r="L18" s="86" t="str">
        <f>'Entrar Dades'!AC17</f>
        <v xml:space="preserve">14 </v>
      </c>
      <c r="M18" s="96">
        <f>'Entrar Dades'!AE17</f>
        <v>12</v>
      </c>
      <c r="N18" s="83">
        <f>'Entrar Dades'!AF17</f>
        <v>1</v>
      </c>
      <c r="O18" s="83">
        <f>'Entrar Dades'!AG17</f>
        <v>2</v>
      </c>
      <c r="P18" s="89">
        <f>'Entrar Dades'!AH17</f>
        <v>9</v>
      </c>
      <c r="Q18" s="74" t="str">
        <f>'Entrar Dades'!AI17</f>
        <v xml:space="preserve"> </v>
      </c>
      <c r="R18" s="67" t="str">
        <f>'Entrar Dades'!AJ17</f>
        <v xml:space="preserve"> </v>
      </c>
      <c r="S18" s="67" t="str">
        <f>'Entrar Dades'!AK17</f>
        <v xml:space="preserve"> </v>
      </c>
      <c r="T18" s="79" t="str">
        <f>'Entrar Dades'!AL17</f>
        <v>X</v>
      </c>
      <c r="U18" s="74" t="str">
        <f>'Entrar Dades'!AN17</f>
        <v xml:space="preserve"> </v>
      </c>
      <c r="V18" s="67" t="str">
        <f>'Entrar Dades'!AO17</f>
        <v>X</v>
      </c>
      <c r="W18" s="67" t="str">
        <f>'Entrar Dades'!AP17</f>
        <v xml:space="preserve"> </v>
      </c>
      <c r="X18" s="79" t="str">
        <f>'Entrar Dades'!AQ17</f>
        <v xml:space="preserve"> </v>
      </c>
      <c r="Y18" s="79" t="str">
        <f>'Entrar Dades'!AR17</f>
        <v xml:space="preserve"> </v>
      </c>
      <c r="Z18" s="69">
        <f>'Entrar Dades'!AS17</f>
        <v>1</v>
      </c>
      <c r="AA18" s="72">
        <f>'Entrar Dades'!AT17</f>
        <v>6</v>
      </c>
    </row>
    <row r="19" spans="2:27" x14ac:dyDescent="0.25">
      <c r="B19" s="94">
        <f>'Entrar Dades'!Q18</f>
        <v>3.5</v>
      </c>
      <c r="C19" s="83">
        <f>'Entrar Dades'!R18</f>
        <v>1</v>
      </c>
      <c r="D19" s="83">
        <f>'Entrar Dades'!S18</f>
        <v>0</v>
      </c>
      <c r="E19" s="89">
        <f>'Entrar Dades'!T18</f>
        <v>2.5</v>
      </c>
      <c r="F19" s="74" t="str">
        <f>'Entrar Dades'!U18</f>
        <v xml:space="preserve"> </v>
      </c>
      <c r="G19" s="67" t="str">
        <f>'Entrar Dades'!V18</f>
        <v xml:space="preserve"> </v>
      </c>
      <c r="H19" s="67" t="str">
        <f>'Entrar Dades'!W18</f>
        <v xml:space="preserve"> </v>
      </c>
      <c r="I19" s="79" t="str">
        <f>'Entrar Dades'!X18</f>
        <v xml:space="preserve"> </v>
      </c>
      <c r="J19" s="94">
        <f>'Entrar Dades'!Z18</f>
        <v>3.5</v>
      </c>
      <c r="K19" s="79" t="str">
        <f>'Entrar Dades'!AA18</f>
        <v xml:space="preserve"> </v>
      </c>
      <c r="L19" s="86" t="str">
        <f>'Entrar Dades'!AC18</f>
        <v xml:space="preserve">15 </v>
      </c>
      <c r="M19" s="96">
        <f>'Entrar Dades'!AE18</f>
        <v>7</v>
      </c>
      <c r="N19" s="83">
        <f>'Entrar Dades'!AF18</f>
        <v>0</v>
      </c>
      <c r="O19" s="83">
        <f>'Entrar Dades'!AG18</f>
        <v>6</v>
      </c>
      <c r="P19" s="89">
        <f>'Entrar Dades'!AH18</f>
        <v>1</v>
      </c>
      <c r="Q19" s="74" t="str">
        <f>'Entrar Dades'!AI18</f>
        <v xml:space="preserve"> </v>
      </c>
      <c r="R19" s="67" t="str">
        <f>'Entrar Dades'!AJ18</f>
        <v xml:space="preserve"> </v>
      </c>
      <c r="S19" s="67" t="str">
        <f>'Entrar Dades'!AK18</f>
        <v>X</v>
      </c>
      <c r="T19" s="79" t="str">
        <f>'Entrar Dades'!AL18</f>
        <v xml:space="preserve"> </v>
      </c>
      <c r="U19" s="74" t="str">
        <f>'Entrar Dades'!AN18</f>
        <v xml:space="preserve"> </v>
      </c>
      <c r="V19" s="67" t="str">
        <f>'Entrar Dades'!AO18</f>
        <v xml:space="preserve"> </v>
      </c>
      <c r="W19" s="67" t="str">
        <f>'Entrar Dades'!AP18</f>
        <v xml:space="preserve"> </v>
      </c>
      <c r="X19" s="79" t="str">
        <f>'Entrar Dades'!AQ18</f>
        <v xml:space="preserve"> </v>
      </c>
      <c r="Y19" s="79" t="str">
        <f>'Entrar Dades'!AR18</f>
        <v xml:space="preserve"> </v>
      </c>
      <c r="Z19" s="69">
        <f>'Entrar Dades'!AS18</f>
        <v>1</v>
      </c>
      <c r="AA19" s="72">
        <f>'Entrar Dades'!AT18</f>
        <v>4</v>
      </c>
    </row>
    <row r="20" spans="2:27" x14ac:dyDescent="0.25">
      <c r="B20" s="94">
        <f>'Entrar Dades'!Q19</f>
        <v>26</v>
      </c>
      <c r="C20" s="83">
        <f>'Entrar Dades'!R19</f>
        <v>13</v>
      </c>
      <c r="D20" s="83">
        <f>'Entrar Dades'!S19</f>
        <v>0</v>
      </c>
      <c r="E20" s="89">
        <f>'Entrar Dades'!T19</f>
        <v>13</v>
      </c>
      <c r="F20" s="74" t="str">
        <f>'Entrar Dades'!U19</f>
        <v>X</v>
      </c>
      <c r="G20" s="67" t="str">
        <f>'Entrar Dades'!V19</f>
        <v>X</v>
      </c>
      <c r="H20" s="67" t="str">
        <f>'Entrar Dades'!W19</f>
        <v xml:space="preserve"> </v>
      </c>
      <c r="I20" s="79" t="str">
        <f>'Entrar Dades'!X19</f>
        <v>X</v>
      </c>
      <c r="J20" s="94">
        <f>'Entrar Dades'!Z19</f>
        <v>6.5</v>
      </c>
      <c r="K20" s="79" t="str">
        <f>'Entrar Dades'!AA19</f>
        <v>X</v>
      </c>
      <c r="L20" s="86" t="str">
        <f>'Entrar Dades'!AC19</f>
        <v xml:space="preserve">16 </v>
      </c>
      <c r="M20" s="96">
        <f>'Entrar Dades'!AE19</f>
        <v>2</v>
      </c>
      <c r="N20" s="83">
        <f>'Entrar Dades'!AF19</f>
        <v>1</v>
      </c>
      <c r="O20" s="83">
        <f>'Entrar Dades'!AG19</f>
        <v>0</v>
      </c>
      <c r="P20" s="89">
        <f>'Entrar Dades'!AH19</f>
        <v>1</v>
      </c>
      <c r="Q20" s="74" t="str">
        <f>'Entrar Dades'!AI19</f>
        <v xml:space="preserve"> </v>
      </c>
      <c r="R20" s="67" t="str">
        <f>'Entrar Dades'!AJ19</f>
        <v xml:space="preserve"> </v>
      </c>
      <c r="S20" s="67" t="str">
        <f>'Entrar Dades'!AK19</f>
        <v xml:space="preserve"> </v>
      </c>
      <c r="T20" s="79" t="str">
        <f>'Entrar Dades'!AL19</f>
        <v xml:space="preserve"> </v>
      </c>
      <c r="U20" s="74" t="str">
        <f>'Entrar Dades'!AN19</f>
        <v xml:space="preserve"> </v>
      </c>
      <c r="V20" s="67" t="str">
        <f>'Entrar Dades'!AO19</f>
        <v>X</v>
      </c>
      <c r="W20" s="67" t="str">
        <f>'Entrar Dades'!AP19</f>
        <v xml:space="preserve"> </v>
      </c>
      <c r="X20" s="79" t="str">
        <f>'Entrar Dades'!AQ19</f>
        <v xml:space="preserve"> </v>
      </c>
      <c r="Y20" s="79" t="str">
        <f>'Entrar Dades'!AR19</f>
        <v xml:space="preserve"> </v>
      </c>
      <c r="Z20" s="69">
        <f>'Entrar Dades'!AS19</f>
        <v>1</v>
      </c>
      <c r="AA20" s="72">
        <f>'Entrar Dades'!AT19</f>
        <v>11</v>
      </c>
    </row>
    <row r="21" spans="2:27" x14ac:dyDescent="0.25">
      <c r="B21" s="94">
        <f>'Entrar Dades'!Q20</f>
        <v>3.5</v>
      </c>
      <c r="C21" s="83">
        <f>'Entrar Dades'!R20</f>
        <v>0</v>
      </c>
      <c r="D21" s="83">
        <f>'Entrar Dades'!S20</f>
        <v>1</v>
      </c>
      <c r="E21" s="89">
        <f>'Entrar Dades'!T20</f>
        <v>2.5</v>
      </c>
      <c r="F21" s="74" t="str">
        <f>'Entrar Dades'!U20</f>
        <v xml:space="preserve"> </v>
      </c>
      <c r="G21" s="67" t="str">
        <f>'Entrar Dades'!V20</f>
        <v xml:space="preserve"> </v>
      </c>
      <c r="H21" s="67" t="str">
        <f>'Entrar Dades'!W20</f>
        <v xml:space="preserve"> </v>
      </c>
      <c r="I21" s="79" t="str">
        <f>'Entrar Dades'!X20</f>
        <v xml:space="preserve"> </v>
      </c>
      <c r="J21" s="94">
        <f>'Entrar Dades'!Z20</f>
        <v>0.5</v>
      </c>
      <c r="K21" s="79" t="str">
        <f>'Entrar Dades'!AA20</f>
        <v xml:space="preserve"> </v>
      </c>
      <c r="L21" s="86" t="str">
        <f>'Entrar Dades'!AC20</f>
        <v xml:space="preserve">17 </v>
      </c>
      <c r="M21" s="96">
        <f>'Entrar Dades'!AE20</f>
        <v>3</v>
      </c>
      <c r="N21" s="83">
        <f>'Entrar Dades'!AF20</f>
        <v>1</v>
      </c>
      <c r="O21" s="83">
        <f>'Entrar Dades'!AG20</f>
        <v>1</v>
      </c>
      <c r="P21" s="89">
        <f>'Entrar Dades'!AH20</f>
        <v>1</v>
      </c>
      <c r="Q21" s="74" t="str">
        <f>'Entrar Dades'!AI20</f>
        <v xml:space="preserve"> </v>
      </c>
      <c r="R21" s="67" t="str">
        <f>'Entrar Dades'!AJ20</f>
        <v xml:space="preserve"> </v>
      </c>
      <c r="S21" s="67" t="str">
        <f>'Entrar Dades'!AK20</f>
        <v xml:space="preserve"> </v>
      </c>
      <c r="T21" s="79" t="str">
        <f>'Entrar Dades'!AL20</f>
        <v xml:space="preserve"> </v>
      </c>
      <c r="U21" s="74" t="str">
        <f>'Entrar Dades'!AN20</f>
        <v>X</v>
      </c>
      <c r="V21" s="67" t="str">
        <f>'Entrar Dades'!AO20</f>
        <v xml:space="preserve"> </v>
      </c>
      <c r="W21" s="67" t="str">
        <f>'Entrar Dades'!AP20</f>
        <v xml:space="preserve"> </v>
      </c>
      <c r="X21" s="79" t="str">
        <f>'Entrar Dades'!AQ20</f>
        <v xml:space="preserve"> </v>
      </c>
      <c r="Y21" s="79" t="str">
        <f>'Entrar Dades'!AR20</f>
        <v xml:space="preserve"> </v>
      </c>
      <c r="Z21" s="69">
        <f>'Entrar Dades'!AS20</f>
        <v>4</v>
      </c>
      <c r="AA21" s="72">
        <f>'Entrar Dades'!AT20</f>
        <v>0</v>
      </c>
    </row>
    <row r="22" spans="2:27" x14ac:dyDescent="0.25">
      <c r="B22" s="94">
        <f>'Entrar Dades'!Q21</f>
        <v>11</v>
      </c>
      <c r="C22" s="83">
        <f>'Entrar Dades'!R21</f>
        <v>5</v>
      </c>
      <c r="D22" s="83">
        <f>'Entrar Dades'!S21</f>
        <v>4</v>
      </c>
      <c r="E22" s="89">
        <f>'Entrar Dades'!T21</f>
        <v>2</v>
      </c>
      <c r="F22" s="74" t="str">
        <f>'Entrar Dades'!U21</f>
        <v xml:space="preserve"> </v>
      </c>
      <c r="G22" s="67" t="str">
        <f>'Entrar Dades'!V21</f>
        <v xml:space="preserve"> </v>
      </c>
      <c r="H22" s="67" t="str">
        <f>'Entrar Dades'!W21</f>
        <v xml:space="preserve"> </v>
      </c>
      <c r="I22" s="79" t="str">
        <f>'Entrar Dades'!X21</f>
        <v xml:space="preserve"> </v>
      </c>
      <c r="J22" s="94">
        <f>'Entrar Dades'!Z21</f>
        <v>4.5</v>
      </c>
      <c r="K22" s="79" t="str">
        <f>'Entrar Dades'!AA21</f>
        <v>X</v>
      </c>
      <c r="L22" s="86" t="str">
        <f>'Entrar Dades'!AC21</f>
        <v xml:space="preserve">18 </v>
      </c>
      <c r="M22" s="96">
        <f>'Entrar Dades'!AE21</f>
        <v>1</v>
      </c>
      <c r="N22" s="83">
        <f>'Entrar Dades'!AF21</f>
        <v>1</v>
      </c>
      <c r="O22" s="83">
        <f>'Entrar Dades'!AG21</f>
        <v>0</v>
      </c>
      <c r="P22" s="89">
        <f>'Entrar Dades'!AH21</f>
        <v>0</v>
      </c>
      <c r="Q22" s="74" t="str">
        <f>'Entrar Dades'!AI21</f>
        <v xml:space="preserve"> </v>
      </c>
      <c r="R22" s="67" t="str">
        <f>'Entrar Dades'!AJ21</f>
        <v xml:space="preserve"> </v>
      </c>
      <c r="S22" s="67" t="str">
        <f>'Entrar Dades'!AK21</f>
        <v xml:space="preserve"> </v>
      </c>
      <c r="T22" s="79" t="str">
        <f>'Entrar Dades'!AL21</f>
        <v xml:space="preserve"> </v>
      </c>
      <c r="U22" s="74" t="str">
        <f>'Entrar Dades'!AN21</f>
        <v xml:space="preserve"> </v>
      </c>
      <c r="V22" s="67" t="str">
        <f>'Entrar Dades'!AO21</f>
        <v xml:space="preserve"> </v>
      </c>
      <c r="W22" s="67" t="str">
        <f>'Entrar Dades'!AP21</f>
        <v xml:space="preserve"> </v>
      </c>
      <c r="X22" s="79" t="str">
        <f>'Entrar Dades'!AQ21</f>
        <v xml:space="preserve"> </v>
      </c>
      <c r="Y22" s="79" t="str">
        <f>'Entrar Dades'!AR21</f>
        <v xml:space="preserve"> </v>
      </c>
      <c r="Z22" s="69">
        <f>'Entrar Dades'!AS21</f>
        <v>2</v>
      </c>
      <c r="AA22" s="72">
        <f>'Entrar Dades'!AT21</f>
        <v>0</v>
      </c>
    </row>
    <row r="23" spans="2:27" x14ac:dyDescent="0.25">
      <c r="B23" s="94">
        <f>'Entrar Dades'!Q22</f>
        <v>5.5</v>
      </c>
      <c r="C23" s="83">
        <f>'Entrar Dades'!R22</f>
        <v>2</v>
      </c>
      <c r="D23" s="83">
        <f>'Entrar Dades'!S22</f>
        <v>2</v>
      </c>
      <c r="E23" s="89">
        <f>'Entrar Dades'!T22</f>
        <v>1.5</v>
      </c>
      <c r="F23" s="74" t="str">
        <f>'Entrar Dades'!U22</f>
        <v xml:space="preserve"> </v>
      </c>
      <c r="G23" s="67" t="str">
        <f>'Entrar Dades'!V22</f>
        <v xml:space="preserve"> </v>
      </c>
      <c r="H23" s="67" t="str">
        <f>'Entrar Dades'!W22</f>
        <v xml:space="preserve"> </v>
      </c>
      <c r="I23" s="79" t="str">
        <f>'Entrar Dades'!X22</f>
        <v xml:space="preserve"> </v>
      </c>
      <c r="J23" s="94">
        <f>'Entrar Dades'!Z22</f>
        <v>1.5</v>
      </c>
      <c r="K23" s="79" t="str">
        <f>'Entrar Dades'!AA22</f>
        <v xml:space="preserve"> </v>
      </c>
      <c r="L23" s="86" t="str">
        <f>'Entrar Dades'!AC22</f>
        <v xml:space="preserve">19 </v>
      </c>
      <c r="M23" s="96">
        <f>'Entrar Dades'!AE22</f>
        <v>5</v>
      </c>
      <c r="N23" s="83">
        <f>'Entrar Dades'!AF22</f>
        <v>4</v>
      </c>
      <c r="O23" s="83">
        <f>'Entrar Dades'!AG22</f>
        <v>1</v>
      </c>
      <c r="P23" s="89">
        <f>'Entrar Dades'!AH22</f>
        <v>0</v>
      </c>
      <c r="Q23" s="74" t="str">
        <f>'Entrar Dades'!AI22</f>
        <v xml:space="preserve"> </v>
      </c>
      <c r="R23" s="67" t="str">
        <f>'Entrar Dades'!AJ22</f>
        <v xml:space="preserve"> </v>
      </c>
      <c r="S23" s="67" t="str">
        <f>'Entrar Dades'!AK22</f>
        <v xml:space="preserve"> </v>
      </c>
      <c r="T23" s="79" t="str">
        <f>'Entrar Dades'!AL22</f>
        <v xml:space="preserve"> </v>
      </c>
      <c r="U23" s="74" t="str">
        <f>'Entrar Dades'!AN22</f>
        <v xml:space="preserve"> </v>
      </c>
      <c r="V23" s="67" t="str">
        <f>'Entrar Dades'!AO22</f>
        <v xml:space="preserve"> </v>
      </c>
      <c r="W23" s="67" t="str">
        <f>'Entrar Dades'!AP22</f>
        <v xml:space="preserve"> </v>
      </c>
      <c r="X23" s="79" t="str">
        <f>'Entrar Dades'!AQ22</f>
        <v xml:space="preserve"> </v>
      </c>
      <c r="Y23" s="79" t="str">
        <f>'Entrar Dades'!AR22</f>
        <v xml:space="preserve"> </v>
      </c>
      <c r="Z23" s="69">
        <f>'Entrar Dades'!AS22</f>
        <v>5</v>
      </c>
      <c r="AA23" s="72">
        <f>'Entrar Dades'!AT22</f>
        <v>2</v>
      </c>
    </row>
    <row r="24" spans="2:27" x14ac:dyDescent="0.25">
      <c r="B24" s="94">
        <f>'Entrar Dades'!Q23</f>
        <v>5</v>
      </c>
      <c r="C24" s="83">
        <f>'Entrar Dades'!R23</f>
        <v>0</v>
      </c>
      <c r="D24" s="83">
        <f>'Entrar Dades'!S23</f>
        <v>5</v>
      </c>
      <c r="E24" s="89">
        <f>'Entrar Dades'!T23</f>
        <v>0</v>
      </c>
      <c r="F24" s="74" t="str">
        <f>'Entrar Dades'!U23</f>
        <v xml:space="preserve"> </v>
      </c>
      <c r="G24" s="67" t="str">
        <f>'Entrar Dades'!V23</f>
        <v xml:space="preserve"> </v>
      </c>
      <c r="H24" s="67" t="str">
        <f>'Entrar Dades'!W23</f>
        <v>X</v>
      </c>
      <c r="I24" s="79" t="str">
        <f>'Entrar Dades'!X23</f>
        <v xml:space="preserve"> </v>
      </c>
      <c r="J24" s="94">
        <f>'Entrar Dades'!Z23</f>
        <v>4.5</v>
      </c>
      <c r="K24" s="79" t="str">
        <f>'Entrar Dades'!AA23</f>
        <v>X</v>
      </c>
      <c r="L24" s="86" t="str">
        <f>'Entrar Dades'!AC23</f>
        <v xml:space="preserve">20 </v>
      </c>
      <c r="M24" s="96">
        <f>'Entrar Dades'!AE23</f>
        <v>1</v>
      </c>
      <c r="N24" s="83">
        <f>'Entrar Dades'!AF23</f>
        <v>0</v>
      </c>
      <c r="O24" s="83">
        <f>'Entrar Dades'!AG23</f>
        <v>0</v>
      </c>
      <c r="P24" s="89">
        <f>'Entrar Dades'!AH23</f>
        <v>1</v>
      </c>
      <c r="Q24" s="74" t="str">
        <f>'Entrar Dades'!AI23</f>
        <v xml:space="preserve"> </v>
      </c>
      <c r="R24" s="67" t="str">
        <f>'Entrar Dades'!AJ23</f>
        <v xml:space="preserve"> </v>
      </c>
      <c r="S24" s="67" t="str">
        <f>'Entrar Dades'!AK23</f>
        <v xml:space="preserve"> </v>
      </c>
      <c r="T24" s="79" t="str">
        <f>'Entrar Dades'!AL23</f>
        <v xml:space="preserve"> </v>
      </c>
      <c r="U24" s="74" t="str">
        <f>'Entrar Dades'!AN23</f>
        <v xml:space="preserve"> </v>
      </c>
      <c r="V24" s="67" t="str">
        <f>'Entrar Dades'!AO23</f>
        <v xml:space="preserve"> </v>
      </c>
      <c r="W24" s="67" t="str">
        <f>'Entrar Dades'!AP23</f>
        <v xml:space="preserve"> </v>
      </c>
      <c r="X24" s="79" t="str">
        <f>'Entrar Dades'!AQ23</f>
        <v xml:space="preserve"> </v>
      </c>
      <c r="Y24" s="79" t="str">
        <f>'Entrar Dades'!AR23</f>
        <v xml:space="preserve"> </v>
      </c>
      <c r="Z24" s="69">
        <f>'Entrar Dades'!AS23</f>
        <v>2</v>
      </c>
      <c r="AA24" s="72">
        <f>'Entrar Dades'!AT23</f>
        <v>0</v>
      </c>
    </row>
    <row r="25" spans="2:27" x14ac:dyDescent="0.25">
      <c r="B25" s="94">
        <f>'Entrar Dades'!Q24</f>
        <v>4.5</v>
      </c>
      <c r="C25" s="83">
        <f>'Entrar Dades'!R24</f>
        <v>1</v>
      </c>
      <c r="D25" s="83">
        <f>'Entrar Dades'!S24</f>
        <v>1</v>
      </c>
      <c r="E25" s="89">
        <f>'Entrar Dades'!T24</f>
        <v>2.5</v>
      </c>
      <c r="F25" s="74" t="str">
        <f>'Entrar Dades'!U24</f>
        <v xml:space="preserve"> </v>
      </c>
      <c r="G25" s="67" t="str">
        <f>'Entrar Dades'!V24</f>
        <v xml:space="preserve"> </v>
      </c>
      <c r="H25" s="67" t="str">
        <f>'Entrar Dades'!W24</f>
        <v xml:space="preserve"> </v>
      </c>
      <c r="I25" s="79" t="str">
        <f>'Entrar Dades'!X24</f>
        <v xml:space="preserve"> </v>
      </c>
      <c r="J25" s="94">
        <f>'Entrar Dades'!Z24</f>
        <v>0.5</v>
      </c>
      <c r="K25" s="79" t="str">
        <f>'Entrar Dades'!AA24</f>
        <v xml:space="preserve"> </v>
      </c>
      <c r="L25" s="86" t="str">
        <f>'Entrar Dades'!AC24</f>
        <v xml:space="preserve">21 </v>
      </c>
      <c r="M25" s="96">
        <f>'Entrar Dades'!AE24</f>
        <v>8</v>
      </c>
      <c r="N25" s="83">
        <f>'Entrar Dades'!AF24</f>
        <v>4</v>
      </c>
      <c r="O25" s="83">
        <f>'Entrar Dades'!AG24</f>
        <v>1</v>
      </c>
      <c r="P25" s="89">
        <f>'Entrar Dades'!AH24</f>
        <v>3</v>
      </c>
      <c r="Q25" s="74" t="str">
        <f>'Entrar Dades'!AI24</f>
        <v xml:space="preserve"> </v>
      </c>
      <c r="R25" s="67" t="str">
        <f>'Entrar Dades'!AJ24</f>
        <v xml:space="preserve"> </v>
      </c>
      <c r="S25" s="67" t="str">
        <f>'Entrar Dades'!AK24</f>
        <v xml:space="preserve"> </v>
      </c>
      <c r="T25" s="79" t="str">
        <f>'Entrar Dades'!AL24</f>
        <v xml:space="preserve"> </v>
      </c>
      <c r="U25" s="74" t="str">
        <f>'Entrar Dades'!AN24</f>
        <v xml:space="preserve"> </v>
      </c>
      <c r="V25" s="67" t="str">
        <f>'Entrar Dades'!AO24</f>
        <v xml:space="preserve"> </v>
      </c>
      <c r="W25" s="67" t="str">
        <f>'Entrar Dades'!AP24</f>
        <v xml:space="preserve"> </v>
      </c>
      <c r="X25" s="79" t="str">
        <f>'Entrar Dades'!AQ24</f>
        <v xml:space="preserve"> </v>
      </c>
      <c r="Y25" s="79" t="str">
        <f>'Entrar Dades'!AR24</f>
        <v>X</v>
      </c>
      <c r="Z25" s="69">
        <f>'Entrar Dades'!AS24</f>
        <v>2</v>
      </c>
      <c r="AA25" s="72">
        <f>'Entrar Dades'!AT24</f>
        <v>2</v>
      </c>
    </row>
    <row r="26" spans="2:27" x14ac:dyDescent="0.25">
      <c r="B26" s="94">
        <f>'Entrar Dades'!Q25</f>
        <v>0</v>
      </c>
      <c r="C26" s="83">
        <f>'Entrar Dades'!R25</f>
        <v>0</v>
      </c>
      <c r="D26" s="83">
        <f>'Entrar Dades'!S25</f>
        <v>0</v>
      </c>
      <c r="E26" s="89">
        <f>'Entrar Dades'!T25</f>
        <v>0</v>
      </c>
      <c r="F26" s="74" t="str">
        <f>'Entrar Dades'!U25</f>
        <v xml:space="preserve"> </v>
      </c>
      <c r="G26" s="67" t="str">
        <f>'Entrar Dades'!V25</f>
        <v xml:space="preserve"> </v>
      </c>
      <c r="H26" s="67" t="str">
        <f>'Entrar Dades'!W25</f>
        <v xml:space="preserve"> </v>
      </c>
      <c r="I26" s="79" t="str">
        <f>'Entrar Dades'!X25</f>
        <v xml:space="preserve"> </v>
      </c>
      <c r="J26" s="94">
        <f>'Entrar Dades'!Z25</f>
        <v>0</v>
      </c>
      <c r="K26" s="79" t="str">
        <f>'Entrar Dades'!AA25</f>
        <v xml:space="preserve"> </v>
      </c>
      <c r="L26" s="86" t="str">
        <f>'Entrar Dades'!AC25</f>
        <v xml:space="preserve">22 </v>
      </c>
      <c r="M26" s="96">
        <f>'Entrar Dades'!AE25</f>
        <v>0</v>
      </c>
      <c r="N26" s="83">
        <f>'Entrar Dades'!AF25</f>
        <v>0</v>
      </c>
      <c r="O26" s="83">
        <f>'Entrar Dades'!AG25</f>
        <v>0</v>
      </c>
      <c r="P26" s="89">
        <f>'Entrar Dades'!AH25</f>
        <v>0</v>
      </c>
      <c r="Q26" s="74" t="str">
        <f>'Entrar Dades'!AI25</f>
        <v xml:space="preserve"> </v>
      </c>
      <c r="R26" s="67" t="str">
        <f>'Entrar Dades'!AJ25</f>
        <v xml:space="preserve"> </v>
      </c>
      <c r="S26" s="67" t="str">
        <f>'Entrar Dades'!AK25</f>
        <v xml:space="preserve"> </v>
      </c>
      <c r="T26" s="79" t="str">
        <f>'Entrar Dades'!AL25</f>
        <v xml:space="preserve"> </v>
      </c>
      <c r="U26" s="74" t="str">
        <f>'Entrar Dades'!AN25</f>
        <v xml:space="preserve"> </v>
      </c>
      <c r="V26" s="67" t="str">
        <f>'Entrar Dades'!AO25</f>
        <v xml:space="preserve"> </v>
      </c>
      <c r="W26" s="67" t="str">
        <f>'Entrar Dades'!AP25</f>
        <v>X</v>
      </c>
      <c r="X26" s="79" t="str">
        <f>'Entrar Dades'!AQ25</f>
        <v xml:space="preserve"> </v>
      </c>
      <c r="Y26" s="79" t="str">
        <f>'Entrar Dades'!AR25</f>
        <v xml:space="preserve"> </v>
      </c>
      <c r="Z26" s="69">
        <f>'Entrar Dades'!AS25</f>
        <v>0</v>
      </c>
      <c r="AA26" s="72">
        <f>'Entrar Dades'!AT25</f>
        <v>0</v>
      </c>
    </row>
    <row r="27" spans="2:27" x14ac:dyDescent="0.25">
      <c r="B27" s="94">
        <f>'Entrar Dades'!Q26</f>
        <v>0</v>
      </c>
      <c r="C27" s="83">
        <f>'Entrar Dades'!R26</f>
        <v>0</v>
      </c>
      <c r="D27" s="83">
        <f>'Entrar Dades'!S26</f>
        <v>0</v>
      </c>
      <c r="E27" s="89">
        <f>'Entrar Dades'!T26</f>
        <v>0</v>
      </c>
      <c r="F27" s="74" t="str">
        <f>'Entrar Dades'!U26</f>
        <v xml:space="preserve"> </v>
      </c>
      <c r="G27" s="67" t="str">
        <f>'Entrar Dades'!V26</f>
        <v xml:space="preserve"> </v>
      </c>
      <c r="H27" s="67" t="str">
        <f>'Entrar Dades'!W26</f>
        <v xml:space="preserve"> </v>
      </c>
      <c r="I27" s="79" t="str">
        <f>'Entrar Dades'!X26</f>
        <v xml:space="preserve"> </v>
      </c>
      <c r="J27" s="94">
        <f>'Entrar Dades'!Z26</f>
        <v>0</v>
      </c>
      <c r="K27" s="79" t="str">
        <f>'Entrar Dades'!AA26</f>
        <v xml:space="preserve"> </v>
      </c>
      <c r="L27" s="86" t="str">
        <f>'Entrar Dades'!AC26</f>
        <v xml:space="preserve">23 </v>
      </c>
      <c r="M27" s="96">
        <f>'Entrar Dades'!AE26</f>
        <v>0</v>
      </c>
      <c r="N27" s="83">
        <f>'Entrar Dades'!AF26</f>
        <v>0</v>
      </c>
      <c r="O27" s="83">
        <f>'Entrar Dades'!AG26</f>
        <v>0</v>
      </c>
      <c r="P27" s="89">
        <f>'Entrar Dades'!AH26</f>
        <v>0</v>
      </c>
      <c r="Q27" s="74" t="str">
        <f>'Entrar Dades'!AI26</f>
        <v xml:space="preserve"> </v>
      </c>
      <c r="R27" s="67" t="str">
        <f>'Entrar Dades'!AJ26</f>
        <v xml:space="preserve"> </v>
      </c>
      <c r="S27" s="67" t="str">
        <f>'Entrar Dades'!AK26</f>
        <v xml:space="preserve"> </v>
      </c>
      <c r="T27" s="79" t="str">
        <f>'Entrar Dades'!AL26</f>
        <v xml:space="preserve"> </v>
      </c>
      <c r="U27" s="74" t="str">
        <f>'Entrar Dades'!AN26</f>
        <v xml:space="preserve"> </v>
      </c>
      <c r="V27" s="67" t="str">
        <f>'Entrar Dades'!AO26</f>
        <v xml:space="preserve"> </v>
      </c>
      <c r="W27" s="67" t="str">
        <f>'Entrar Dades'!AP26</f>
        <v>X</v>
      </c>
      <c r="X27" s="79" t="str">
        <f>'Entrar Dades'!AQ26</f>
        <v xml:space="preserve"> </v>
      </c>
      <c r="Y27" s="79" t="str">
        <f>'Entrar Dades'!AR26</f>
        <v xml:space="preserve"> </v>
      </c>
      <c r="Z27" s="69">
        <f>'Entrar Dades'!AS26</f>
        <v>0</v>
      </c>
      <c r="AA27" s="72">
        <f>'Entrar Dades'!AT26</f>
        <v>0</v>
      </c>
    </row>
    <row r="28" spans="2:27" x14ac:dyDescent="0.25">
      <c r="B28" s="94">
        <f>'Entrar Dades'!Q27</f>
        <v>0</v>
      </c>
      <c r="C28" s="83">
        <f>'Entrar Dades'!R27</f>
        <v>0</v>
      </c>
      <c r="D28" s="83">
        <f>'Entrar Dades'!S27</f>
        <v>0</v>
      </c>
      <c r="E28" s="89">
        <f>'Entrar Dades'!T27</f>
        <v>0</v>
      </c>
      <c r="F28" s="74" t="str">
        <f>'Entrar Dades'!U27</f>
        <v xml:space="preserve"> </v>
      </c>
      <c r="G28" s="67" t="str">
        <f>'Entrar Dades'!V27</f>
        <v xml:space="preserve"> </v>
      </c>
      <c r="H28" s="67" t="str">
        <f>'Entrar Dades'!W27</f>
        <v xml:space="preserve"> </v>
      </c>
      <c r="I28" s="79" t="str">
        <f>'Entrar Dades'!X27</f>
        <v xml:space="preserve"> </v>
      </c>
      <c r="J28" s="94">
        <f>'Entrar Dades'!Z27</f>
        <v>0</v>
      </c>
      <c r="K28" s="79" t="str">
        <f>'Entrar Dades'!AA27</f>
        <v xml:space="preserve"> </v>
      </c>
      <c r="L28" s="86" t="str">
        <f>'Entrar Dades'!AC27</f>
        <v xml:space="preserve">24 </v>
      </c>
      <c r="M28" s="96">
        <f>'Entrar Dades'!AE27</f>
        <v>0</v>
      </c>
      <c r="N28" s="83">
        <f>'Entrar Dades'!AF27</f>
        <v>0</v>
      </c>
      <c r="O28" s="83">
        <f>'Entrar Dades'!AG27</f>
        <v>0</v>
      </c>
      <c r="P28" s="89">
        <f>'Entrar Dades'!AH27</f>
        <v>0</v>
      </c>
      <c r="Q28" s="74" t="str">
        <f>'Entrar Dades'!AI27</f>
        <v xml:space="preserve"> </v>
      </c>
      <c r="R28" s="67" t="str">
        <f>'Entrar Dades'!AJ27</f>
        <v xml:space="preserve"> </v>
      </c>
      <c r="S28" s="67" t="str">
        <f>'Entrar Dades'!AK27</f>
        <v xml:space="preserve"> </v>
      </c>
      <c r="T28" s="79" t="str">
        <f>'Entrar Dades'!AL27</f>
        <v xml:space="preserve"> </v>
      </c>
      <c r="U28" s="74" t="str">
        <f>'Entrar Dades'!AN27</f>
        <v xml:space="preserve"> </v>
      </c>
      <c r="V28" s="67" t="str">
        <f>'Entrar Dades'!AO27</f>
        <v xml:space="preserve"> </v>
      </c>
      <c r="W28" s="67" t="str">
        <f>'Entrar Dades'!AP27</f>
        <v>X</v>
      </c>
      <c r="X28" s="79" t="str">
        <f>'Entrar Dades'!AQ27</f>
        <v xml:space="preserve"> </v>
      </c>
      <c r="Y28" s="79" t="str">
        <f>'Entrar Dades'!AR27</f>
        <v xml:space="preserve"> </v>
      </c>
      <c r="Z28" s="69">
        <f>'Entrar Dades'!AS27</f>
        <v>0</v>
      </c>
      <c r="AA28" s="72">
        <f>'Entrar Dades'!AT27</f>
        <v>0</v>
      </c>
    </row>
    <row r="29" spans="2:27" x14ac:dyDescent="0.25">
      <c r="B29" s="94">
        <f>'Entrar Dades'!Q28</f>
        <v>0</v>
      </c>
      <c r="C29" s="83">
        <f>'Entrar Dades'!R28</f>
        <v>0</v>
      </c>
      <c r="D29" s="83">
        <f>'Entrar Dades'!S28</f>
        <v>0</v>
      </c>
      <c r="E29" s="89">
        <f>'Entrar Dades'!T28</f>
        <v>0</v>
      </c>
      <c r="F29" s="74" t="str">
        <f>'Entrar Dades'!U28</f>
        <v xml:space="preserve"> </v>
      </c>
      <c r="G29" s="67" t="str">
        <f>'Entrar Dades'!V28</f>
        <v xml:space="preserve"> </v>
      </c>
      <c r="H29" s="67" t="str">
        <f>'Entrar Dades'!W28</f>
        <v xml:space="preserve"> </v>
      </c>
      <c r="I29" s="79" t="str">
        <f>'Entrar Dades'!X28</f>
        <v xml:space="preserve"> </v>
      </c>
      <c r="J29" s="94">
        <f>'Entrar Dades'!Z28</f>
        <v>0</v>
      </c>
      <c r="K29" s="79" t="str">
        <f>'Entrar Dades'!AA28</f>
        <v xml:space="preserve"> </v>
      </c>
      <c r="L29" s="86" t="str">
        <f>'Entrar Dades'!AC28</f>
        <v xml:space="preserve">25 </v>
      </c>
      <c r="M29" s="96">
        <f>'Entrar Dades'!AE28</f>
        <v>0</v>
      </c>
      <c r="N29" s="83">
        <f>'Entrar Dades'!AF28</f>
        <v>0</v>
      </c>
      <c r="O29" s="83">
        <f>'Entrar Dades'!AG28</f>
        <v>0</v>
      </c>
      <c r="P29" s="89">
        <f>'Entrar Dades'!AH28</f>
        <v>0</v>
      </c>
      <c r="Q29" s="74" t="str">
        <f>'Entrar Dades'!AI28</f>
        <v xml:space="preserve"> </v>
      </c>
      <c r="R29" s="67" t="str">
        <f>'Entrar Dades'!AJ28</f>
        <v xml:space="preserve"> </v>
      </c>
      <c r="S29" s="67" t="str">
        <f>'Entrar Dades'!AK28</f>
        <v xml:space="preserve"> </v>
      </c>
      <c r="T29" s="79" t="str">
        <f>'Entrar Dades'!AL28</f>
        <v xml:space="preserve"> </v>
      </c>
      <c r="U29" s="74" t="str">
        <f>'Entrar Dades'!AN28</f>
        <v xml:space="preserve"> </v>
      </c>
      <c r="V29" s="67" t="str">
        <f>'Entrar Dades'!AO28</f>
        <v xml:space="preserve"> </v>
      </c>
      <c r="W29" s="67" t="str">
        <f>'Entrar Dades'!AP28</f>
        <v>X</v>
      </c>
      <c r="X29" s="79" t="str">
        <f>'Entrar Dades'!AQ28</f>
        <v xml:space="preserve"> </v>
      </c>
      <c r="Y29" s="79" t="str">
        <f>'Entrar Dades'!AR28</f>
        <v xml:space="preserve"> </v>
      </c>
      <c r="Z29" s="69">
        <f>'Entrar Dades'!AS28</f>
        <v>0</v>
      </c>
      <c r="AA29" s="72">
        <f>'Entrar Dades'!AT28</f>
        <v>0</v>
      </c>
    </row>
    <row r="30" spans="2:27" x14ac:dyDescent="0.25">
      <c r="B30" s="94">
        <f>'Entrar Dades'!Q29</f>
        <v>0</v>
      </c>
      <c r="C30" s="83">
        <f>'Entrar Dades'!R29</f>
        <v>0</v>
      </c>
      <c r="D30" s="83">
        <f>'Entrar Dades'!S29</f>
        <v>0</v>
      </c>
      <c r="E30" s="89">
        <f>'Entrar Dades'!T29</f>
        <v>0</v>
      </c>
      <c r="F30" s="74" t="str">
        <f>'Entrar Dades'!U29</f>
        <v xml:space="preserve"> </v>
      </c>
      <c r="G30" s="67" t="str">
        <f>'Entrar Dades'!V29</f>
        <v xml:space="preserve"> </v>
      </c>
      <c r="H30" s="67" t="str">
        <f>'Entrar Dades'!W29</f>
        <v xml:space="preserve"> </v>
      </c>
      <c r="I30" s="79" t="str">
        <f>'Entrar Dades'!X29</f>
        <v xml:space="preserve"> </v>
      </c>
      <c r="J30" s="94">
        <f>'Entrar Dades'!Z29</f>
        <v>0</v>
      </c>
      <c r="K30" s="79" t="str">
        <f>'Entrar Dades'!AA29</f>
        <v xml:space="preserve"> </v>
      </c>
      <c r="L30" s="86" t="str">
        <f>'Entrar Dades'!AC29</f>
        <v xml:space="preserve">26 </v>
      </c>
      <c r="M30" s="96">
        <f>'Entrar Dades'!AE29</f>
        <v>0</v>
      </c>
      <c r="N30" s="83">
        <f>'Entrar Dades'!AF29</f>
        <v>0</v>
      </c>
      <c r="O30" s="83">
        <f>'Entrar Dades'!AG29</f>
        <v>0</v>
      </c>
      <c r="P30" s="89">
        <f>'Entrar Dades'!AH29</f>
        <v>0</v>
      </c>
      <c r="Q30" s="74" t="str">
        <f>'Entrar Dades'!AI29</f>
        <v xml:space="preserve"> </v>
      </c>
      <c r="R30" s="67" t="str">
        <f>'Entrar Dades'!AJ29</f>
        <v xml:space="preserve"> </v>
      </c>
      <c r="S30" s="67" t="str">
        <f>'Entrar Dades'!AK29</f>
        <v xml:space="preserve"> </v>
      </c>
      <c r="T30" s="79" t="str">
        <f>'Entrar Dades'!AL29</f>
        <v xml:space="preserve"> </v>
      </c>
      <c r="U30" s="74" t="str">
        <f>'Entrar Dades'!AN29</f>
        <v xml:space="preserve"> </v>
      </c>
      <c r="V30" s="67" t="str">
        <f>'Entrar Dades'!AO29</f>
        <v xml:space="preserve"> </v>
      </c>
      <c r="W30" s="67" t="str">
        <f>'Entrar Dades'!AP29</f>
        <v>X</v>
      </c>
      <c r="X30" s="79" t="str">
        <f>'Entrar Dades'!AQ29</f>
        <v xml:space="preserve"> </v>
      </c>
      <c r="Y30" s="79" t="str">
        <f>'Entrar Dades'!AR29</f>
        <v xml:space="preserve"> </v>
      </c>
      <c r="Z30" s="69">
        <f>'Entrar Dades'!AS29</f>
        <v>0</v>
      </c>
      <c r="AA30" s="72">
        <f>'Entrar Dades'!AT29</f>
        <v>0</v>
      </c>
    </row>
    <row r="31" spans="2:27" x14ac:dyDescent="0.25">
      <c r="B31" s="94">
        <f>'Entrar Dades'!Q30</f>
        <v>0</v>
      </c>
      <c r="C31" s="83">
        <f>'Entrar Dades'!R30</f>
        <v>0</v>
      </c>
      <c r="D31" s="83">
        <f>'Entrar Dades'!S30</f>
        <v>0</v>
      </c>
      <c r="E31" s="89">
        <f>'Entrar Dades'!T30</f>
        <v>0</v>
      </c>
      <c r="F31" s="74" t="str">
        <f>'Entrar Dades'!U30</f>
        <v xml:space="preserve"> </v>
      </c>
      <c r="G31" s="67" t="str">
        <f>'Entrar Dades'!V30</f>
        <v xml:space="preserve"> </v>
      </c>
      <c r="H31" s="67" t="str">
        <f>'Entrar Dades'!W30</f>
        <v xml:space="preserve"> </v>
      </c>
      <c r="I31" s="79" t="str">
        <f>'Entrar Dades'!X30</f>
        <v xml:space="preserve"> </v>
      </c>
      <c r="J31" s="94">
        <f>'Entrar Dades'!Z30</f>
        <v>0</v>
      </c>
      <c r="K31" s="79" t="str">
        <f>'Entrar Dades'!AA30</f>
        <v xml:space="preserve"> </v>
      </c>
      <c r="L31" s="86" t="str">
        <f>'Entrar Dades'!AC30</f>
        <v xml:space="preserve">27 </v>
      </c>
      <c r="M31" s="96">
        <f>'Entrar Dades'!AE30</f>
        <v>0</v>
      </c>
      <c r="N31" s="83">
        <f>'Entrar Dades'!AF30</f>
        <v>0</v>
      </c>
      <c r="O31" s="83">
        <f>'Entrar Dades'!AG30</f>
        <v>0</v>
      </c>
      <c r="P31" s="89">
        <f>'Entrar Dades'!AH30</f>
        <v>0</v>
      </c>
      <c r="Q31" s="74" t="str">
        <f>'Entrar Dades'!AI30</f>
        <v xml:space="preserve"> </v>
      </c>
      <c r="R31" s="67" t="str">
        <f>'Entrar Dades'!AJ30</f>
        <v xml:space="preserve"> </v>
      </c>
      <c r="S31" s="67" t="str">
        <f>'Entrar Dades'!AK30</f>
        <v xml:space="preserve"> </v>
      </c>
      <c r="T31" s="79" t="str">
        <f>'Entrar Dades'!AL30</f>
        <v xml:space="preserve"> </v>
      </c>
      <c r="U31" s="74" t="str">
        <f>'Entrar Dades'!AN30</f>
        <v xml:space="preserve"> </v>
      </c>
      <c r="V31" s="67" t="str">
        <f>'Entrar Dades'!AO30</f>
        <v xml:space="preserve"> </v>
      </c>
      <c r="W31" s="67" t="str">
        <f>'Entrar Dades'!AP30</f>
        <v>X</v>
      </c>
      <c r="X31" s="79" t="str">
        <f>'Entrar Dades'!AQ30</f>
        <v xml:space="preserve"> </v>
      </c>
      <c r="Y31" s="79" t="str">
        <f>'Entrar Dades'!AR30</f>
        <v xml:space="preserve"> </v>
      </c>
      <c r="Z31" s="69">
        <f>'Entrar Dades'!AS30</f>
        <v>0</v>
      </c>
      <c r="AA31" s="72">
        <f>'Entrar Dades'!AT30</f>
        <v>0</v>
      </c>
    </row>
    <row r="32" spans="2:27" x14ac:dyDescent="0.25">
      <c r="B32" s="94">
        <f>'Entrar Dades'!Q31</f>
        <v>0</v>
      </c>
      <c r="C32" s="83">
        <f>'Entrar Dades'!R31</f>
        <v>0</v>
      </c>
      <c r="D32" s="83">
        <f>'Entrar Dades'!S31</f>
        <v>0</v>
      </c>
      <c r="E32" s="89">
        <f>'Entrar Dades'!T31</f>
        <v>0</v>
      </c>
      <c r="F32" s="74" t="str">
        <f>'Entrar Dades'!U31</f>
        <v xml:space="preserve"> </v>
      </c>
      <c r="G32" s="67" t="str">
        <f>'Entrar Dades'!V31</f>
        <v xml:space="preserve"> </v>
      </c>
      <c r="H32" s="67" t="str">
        <f>'Entrar Dades'!W31</f>
        <v xml:space="preserve"> </v>
      </c>
      <c r="I32" s="79" t="str">
        <f>'Entrar Dades'!X31</f>
        <v xml:space="preserve"> </v>
      </c>
      <c r="J32" s="94">
        <f>'Entrar Dades'!Z31</f>
        <v>0</v>
      </c>
      <c r="K32" s="79" t="str">
        <f>'Entrar Dades'!AA31</f>
        <v xml:space="preserve"> </v>
      </c>
      <c r="L32" s="86" t="str">
        <f>'Entrar Dades'!AC31</f>
        <v xml:space="preserve">28 </v>
      </c>
      <c r="M32" s="96">
        <f>'Entrar Dades'!AE31</f>
        <v>0</v>
      </c>
      <c r="N32" s="83">
        <f>'Entrar Dades'!AF31</f>
        <v>0</v>
      </c>
      <c r="O32" s="83">
        <f>'Entrar Dades'!AG31</f>
        <v>0</v>
      </c>
      <c r="P32" s="89">
        <f>'Entrar Dades'!AH31</f>
        <v>0</v>
      </c>
      <c r="Q32" s="74" t="str">
        <f>'Entrar Dades'!AI31</f>
        <v xml:space="preserve"> </v>
      </c>
      <c r="R32" s="67" t="str">
        <f>'Entrar Dades'!AJ31</f>
        <v xml:space="preserve"> </v>
      </c>
      <c r="S32" s="67" t="str">
        <f>'Entrar Dades'!AK31</f>
        <v xml:space="preserve"> </v>
      </c>
      <c r="T32" s="79" t="str">
        <f>'Entrar Dades'!AL31</f>
        <v xml:space="preserve"> </v>
      </c>
      <c r="U32" s="74" t="str">
        <f>'Entrar Dades'!AN31</f>
        <v xml:space="preserve"> </v>
      </c>
      <c r="V32" s="67" t="str">
        <f>'Entrar Dades'!AO31</f>
        <v xml:space="preserve"> </v>
      </c>
      <c r="W32" s="67" t="str">
        <f>'Entrar Dades'!AP31</f>
        <v>X</v>
      </c>
      <c r="X32" s="79" t="str">
        <f>'Entrar Dades'!AQ31</f>
        <v xml:space="preserve"> </v>
      </c>
      <c r="Y32" s="79" t="str">
        <f>'Entrar Dades'!AR31</f>
        <v xml:space="preserve"> </v>
      </c>
      <c r="Z32" s="69">
        <f>'Entrar Dades'!AS31</f>
        <v>0</v>
      </c>
      <c r="AA32" s="72">
        <f>'Entrar Dades'!AT31</f>
        <v>0</v>
      </c>
    </row>
    <row r="33" spans="2:27" x14ac:dyDescent="0.25">
      <c r="B33" s="94">
        <f>'Entrar Dades'!Q32</f>
        <v>0</v>
      </c>
      <c r="C33" s="83">
        <f>'Entrar Dades'!R32</f>
        <v>0</v>
      </c>
      <c r="D33" s="83">
        <f>'Entrar Dades'!S32</f>
        <v>0</v>
      </c>
      <c r="E33" s="89">
        <f>'Entrar Dades'!T32</f>
        <v>0</v>
      </c>
      <c r="F33" s="74" t="str">
        <f>'Entrar Dades'!U32</f>
        <v xml:space="preserve"> </v>
      </c>
      <c r="G33" s="67" t="str">
        <f>'Entrar Dades'!V32</f>
        <v xml:space="preserve"> </v>
      </c>
      <c r="H33" s="67" t="str">
        <f>'Entrar Dades'!W32</f>
        <v xml:space="preserve"> </v>
      </c>
      <c r="I33" s="79" t="str">
        <f>'Entrar Dades'!X32</f>
        <v xml:space="preserve"> </v>
      </c>
      <c r="J33" s="94">
        <f>'Entrar Dades'!Z32</f>
        <v>0</v>
      </c>
      <c r="K33" s="79" t="str">
        <f>'Entrar Dades'!AA32</f>
        <v xml:space="preserve"> </v>
      </c>
      <c r="L33" s="86" t="str">
        <f>'Entrar Dades'!AC32</f>
        <v xml:space="preserve">29 </v>
      </c>
      <c r="M33" s="96">
        <f>'Entrar Dades'!AE32</f>
        <v>0</v>
      </c>
      <c r="N33" s="83">
        <f>'Entrar Dades'!AF32</f>
        <v>0</v>
      </c>
      <c r="O33" s="83">
        <f>'Entrar Dades'!AG32</f>
        <v>0</v>
      </c>
      <c r="P33" s="89">
        <f>'Entrar Dades'!AH32</f>
        <v>0</v>
      </c>
      <c r="Q33" s="74" t="str">
        <f>'Entrar Dades'!AI32</f>
        <v xml:space="preserve"> </v>
      </c>
      <c r="R33" s="67" t="str">
        <f>'Entrar Dades'!AJ32</f>
        <v xml:space="preserve"> </v>
      </c>
      <c r="S33" s="67" t="str">
        <f>'Entrar Dades'!AK32</f>
        <v xml:space="preserve"> </v>
      </c>
      <c r="T33" s="79" t="str">
        <f>'Entrar Dades'!AL32</f>
        <v xml:space="preserve"> </v>
      </c>
      <c r="U33" s="74" t="str">
        <f>'Entrar Dades'!AN32</f>
        <v xml:space="preserve"> </v>
      </c>
      <c r="V33" s="67" t="str">
        <f>'Entrar Dades'!AO32</f>
        <v xml:space="preserve"> </v>
      </c>
      <c r="W33" s="67" t="str">
        <f>'Entrar Dades'!AP32</f>
        <v>X</v>
      </c>
      <c r="X33" s="79" t="str">
        <f>'Entrar Dades'!AQ32</f>
        <v xml:space="preserve"> </v>
      </c>
      <c r="Y33" s="79" t="str">
        <f>'Entrar Dades'!AR32</f>
        <v xml:space="preserve"> </v>
      </c>
      <c r="Z33" s="69">
        <f>'Entrar Dades'!AS32</f>
        <v>0</v>
      </c>
      <c r="AA33" s="72">
        <f>'Entrar Dades'!AT32</f>
        <v>0</v>
      </c>
    </row>
    <row r="34" spans="2:27" x14ac:dyDescent="0.25">
      <c r="B34" s="94">
        <f>'Entrar Dades'!Q33</f>
        <v>0</v>
      </c>
      <c r="C34" s="83">
        <f>'Entrar Dades'!R33</f>
        <v>0</v>
      </c>
      <c r="D34" s="83">
        <f>'Entrar Dades'!S33</f>
        <v>0</v>
      </c>
      <c r="E34" s="89">
        <f>'Entrar Dades'!T33</f>
        <v>0</v>
      </c>
      <c r="F34" s="74" t="str">
        <f>'Entrar Dades'!U33</f>
        <v xml:space="preserve"> </v>
      </c>
      <c r="G34" s="67" t="str">
        <f>'Entrar Dades'!V33</f>
        <v xml:space="preserve"> </v>
      </c>
      <c r="H34" s="67" t="str">
        <f>'Entrar Dades'!W33</f>
        <v xml:space="preserve"> </v>
      </c>
      <c r="I34" s="79" t="str">
        <f>'Entrar Dades'!X33</f>
        <v xml:space="preserve"> </v>
      </c>
      <c r="J34" s="94">
        <f>'Entrar Dades'!Z33</f>
        <v>0</v>
      </c>
      <c r="K34" s="79" t="str">
        <f>'Entrar Dades'!AA33</f>
        <v xml:space="preserve"> </v>
      </c>
      <c r="L34" s="86" t="str">
        <f>'Entrar Dades'!AC33</f>
        <v xml:space="preserve">30 </v>
      </c>
      <c r="M34" s="96">
        <f>'Entrar Dades'!AE33</f>
        <v>0</v>
      </c>
      <c r="N34" s="83">
        <f>'Entrar Dades'!AF33</f>
        <v>0</v>
      </c>
      <c r="O34" s="83">
        <f>'Entrar Dades'!AG33</f>
        <v>0</v>
      </c>
      <c r="P34" s="89">
        <f>'Entrar Dades'!AH33</f>
        <v>0</v>
      </c>
      <c r="Q34" s="74" t="str">
        <f>'Entrar Dades'!AI33</f>
        <v xml:space="preserve"> </v>
      </c>
      <c r="R34" s="67" t="str">
        <f>'Entrar Dades'!AJ33</f>
        <v xml:space="preserve"> </v>
      </c>
      <c r="S34" s="67" t="str">
        <f>'Entrar Dades'!AK33</f>
        <v xml:space="preserve"> </v>
      </c>
      <c r="T34" s="79" t="str">
        <f>'Entrar Dades'!AL33</f>
        <v xml:space="preserve"> </v>
      </c>
      <c r="U34" s="74" t="str">
        <f>'Entrar Dades'!AN33</f>
        <v xml:space="preserve"> </v>
      </c>
      <c r="V34" s="67" t="str">
        <f>'Entrar Dades'!AO33</f>
        <v xml:space="preserve"> </v>
      </c>
      <c r="W34" s="67" t="str">
        <f>'Entrar Dades'!AP33</f>
        <v>X</v>
      </c>
      <c r="X34" s="79" t="str">
        <f>'Entrar Dades'!AQ33</f>
        <v xml:space="preserve"> </v>
      </c>
      <c r="Y34" s="79" t="str">
        <f>'Entrar Dades'!AR33</f>
        <v xml:space="preserve"> </v>
      </c>
      <c r="Z34" s="69">
        <f>'Entrar Dades'!AS33</f>
        <v>0</v>
      </c>
      <c r="AA34" s="72">
        <f>'Entrar Dades'!AT33</f>
        <v>0</v>
      </c>
    </row>
    <row r="35" spans="2:27" x14ac:dyDescent="0.25">
      <c r="B35" s="94">
        <f>'Entrar Dades'!Q34</f>
        <v>0</v>
      </c>
      <c r="C35" s="83">
        <f>'Entrar Dades'!R34</f>
        <v>0</v>
      </c>
      <c r="D35" s="83">
        <f>'Entrar Dades'!S34</f>
        <v>0</v>
      </c>
      <c r="E35" s="89">
        <f>'Entrar Dades'!T34</f>
        <v>0</v>
      </c>
      <c r="F35" s="74" t="str">
        <f>'Entrar Dades'!U34</f>
        <v xml:space="preserve"> </v>
      </c>
      <c r="G35" s="67" t="str">
        <f>'Entrar Dades'!V34</f>
        <v xml:space="preserve"> </v>
      </c>
      <c r="H35" s="67" t="str">
        <f>'Entrar Dades'!W34</f>
        <v xml:space="preserve"> </v>
      </c>
      <c r="I35" s="79" t="str">
        <f>'Entrar Dades'!X34</f>
        <v xml:space="preserve"> </v>
      </c>
      <c r="J35" s="94">
        <f>'Entrar Dades'!Z34</f>
        <v>0</v>
      </c>
      <c r="K35" s="79" t="str">
        <f>'Entrar Dades'!AA34</f>
        <v xml:space="preserve"> </v>
      </c>
      <c r="L35" s="86" t="str">
        <f>'Entrar Dades'!AC34</f>
        <v xml:space="preserve">31 </v>
      </c>
      <c r="M35" s="96">
        <f>'Entrar Dades'!AE34</f>
        <v>0</v>
      </c>
      <c r="N35" s="83">
        <f>'Entrar Dades'!AF34</f>
        <v>0</v>
      </c>
      <c r="O35" s="83">
        <f>'Entrar Dades'!AG34</f>
        <v>0</v>
      </c>
      <c r="P35" s="89">
        <f>'Entrar Dades'!AH34</f>
        <v>0</v>
      </c>
      <c r="Q35" s="74" t="str">
        <f>'Entrar Dades'!AI34</f>
        <v xml:space="preserve"> </v>
      </c>
      <c r="R35" s="67" t="str">
        <f>'Entrar Dades'!AJ34</f>
        <v xml:space="preserve"> </v>
      </c>
      <c r="S35" s="67" t="str">
        <f>'Entrar Dades'!AK34</f>
        <v xml:space="preserve"> </v>
      </c>
      <c r="T35" s="79" t="str">
        <f>'Entrar Dades'!AL34</f>
        <v xml:space="preserve"> </v>
      </c>
      <c r="U35" s="74" t="str">
        <f>'Entrar Dades'!AN34</f>
        <v xml:space="preserve"> </v>
      </c>
      <c r="V35" s="67" t="str">
        <f>'Entrar Dades'!AO34</f>
        <v xml:space="preserve"> </v>
      </c>
      <c r="W35" s="67" t="str">
        <f>'Entrar Dades'!AP34</f>
        <v>X</v>
      </c>
      <c r="X35" s="79" t="str">
        <f>'Entrar Dades'!AQ34</f>
        <v xml:space="preserve"> </v>
      </c>
      <c r="Y35" s="79" t="str">
        <f>'Entrar Dades'!AR34</f>
        <v xml:space="preserve"> </v>
      </c>
      <c r="Z35" s="69">
        <f>'Entrar Dades'!AS34</f>
        <v>0</v>
      </c>
      <c r="AA35" s="72">
        <f>'Entrar Dades'!AT34</f>
        <v>0</v>
      </c>
    </row>
    <row r="36" spans="2:27" x14ac:dyDescent="0.25">
      <c r="B36" s="94">
        <f>'Entrar Dades'!Q35</f>
        <v>0</v>
      </c>
      <c r="C36" s="83">
        <f>'Entrar Dades'!R35</f>
        <v>0</v>
      </c>
      <c r="D36" s="83">
        <f>'Entrar Dades'!S35</f>
        <v>0</v>
      </c>
      <c r="E36" s="89">
        <f>'Entrar Dades'!T35</f>
        <v>0</v>
      </c>
      <c r="F36" s="74" t="str">
        <f>'Entrar Dades'!U35</f>
        <v xml:space="preserve"> </v>
      </c>
      <c r="G36" s="67" t="str">
        <f>'Entrar Dades'!V35</f>
        <v xml:space="preserve"> </v>
      </c>
      <c r="H36" s="67" t="str">
        <f>'Entrar Dades'!W35</f>
        <v xml:space="preserve"> </v>
      </c>
      <c r="I36" s="79" t="str">
        <f>'Entrar Dades'!X35</f>
        <v xml:space="preserve"> </v>
      </c>
      <c r="J36" s="94">
        <f>'Entrar Dades'!Z35</f>
        <v>0</v>
      </c>
      <c r="K36" s="79" t="str">
        <f>'Entrar Dades'!AA35</f>
        <v xml:space="preserve"> </v>
      </c>
      <c r="L36" s="86" t="str">
        <f>'Entrar Dades'!AC35</f>
        <v xml:space="preserve">32 </v>
      </c>
      <c r="M36" s="96">
        <f>'Entrar Dades'!AE35</f>
        <v>0</v>
      </c>
      <c r="N36" s="83">
        <f>'Entrar Dades'!AF35</f>
        <v>0</v>
      </c>
      <c r="O36" s="83">
        <f>'Entrar Dades'!AG35</f>
        <v>0</v>
      </c>
      <c r="P36" s="89">
        <f>'Entrar Dades'!AH35</f>
        <v>0</v>
      </c>
      <c r="Q36" s="74" t="str">
        <f>'Entrar Dades'!AI35</f>
        <v xml:space="preserve"> </v>
      </c>
      <c r="R36" s="67" t="str">
        <f>'Entrar Dades'!AJ35</f>
        <v xml:space="preserve"> </v>
      </c>
      <c r="S36" s="67" t="str">
        <f>'Entrar Dades'!AK35</f>
        <v xml:space="preserve"> </v>
      </c>
      <c r="T36" s="79" t="str">
        <f>'Entrar Dades'!AL35</f>
        <v xml:space="preserve"> </v>
      </c>
      <c r="U36" s="74" t="str">
        <f>'Entrar Dades'!AN35</f>
        <v xml:space="preserve"> </v>
      </c>
      <c r="V36" s="67" t="str">
        <f>'Entrar Dades'!AO35</f>
        <v xml:space="preserve"> </v>
      </c>
      <c r="W36" s="67" t="str">
        <f>'Entrar Dades'!AP35</f>
        <v>X</v>
      </c>
      <c r="X36" s="79" t="str">
        <f>'Entrar Dades'!AQ35</f>
        <v xml:space="preserve"> </v>
      </c>
      <c r="Y36" s="79" t="str">
        <f>'Entrar Dades'!AR35</f>
        <v xml:space="preserve"> </v>
      </c>
      <c r="Z36" s="69">
        <f>'Entrar Dades'!AS35</f>
        <v>0</v>
      </c>
      <c r="AA36" s="72">
        <f>'Entrar Dades'!AT35</f>
        <v>0</v>
      </c>
    </row>
    <row r="37" spans="2:27" x14ac:dyDescent="0.25">
      <c r="B37" s="94">
        <f>'Entrar Dades'!Q36</f>
        <v>0</v>
      </c>
      <c r="C37" s="83">
        <f>'Entrar Dades'!R36</f>
        <v>0</v>
      </c>
      <c r="D37" s="83">
        <f>'Entrar Dades'!S36</f>
        <v>0</v>
      </c>
      <c r="E37" s="89">
        <f>'Entrar Dades'!T36</f>
        <v>0</v>
      </c>
      <c r="F37" s="74" t="str">
        <f>'Entrar Dades'!U36</f>
        <v xml:space="preserve"> </v>
      </c>
      <c r="G37" s="67" t="str">
        <f>'Entrar Dades'!V36</f>
        <v xml:space="preserve"> </v>
      </c>
      <c r="H37" s="67" t="str">
        <f>'Entrar Dades'!W36</f>
        <v xml:space="preserve"> </v>
      </c>
      <c r="I37" s="79" t="str">
        <f>'Entrar Dades'!X36</f>
        <v xml:space="preserve"> </v>
      </c>
      <c r="J37" s="94">
        <f>'Entrar Dades'!Z36</f>
        <v>0</v>
      </c>
      <c r="K37" s="79" t="str">
        <f>'Entrar Dades'!AA36</f>
        <v xml:space="preserve"> </v>
      </c>
      <c r="L37" s="86" t="str">
        <f>'Entrar Dades'!AC36</f>
        <v xml:space="preserve">33 </v>
      </c>
      <c r="M37" s="96">
        <f>'Entrar Dades'!AE36</f>
        <v>0</v>
      </c>
      <c r="N37" s="83">
        <f>'Entrar Dades'!AF36</f>
        <v>0</v>
      </c>
      <c r="O37" s="83">
        <f>'Entrar Dades'!AG36</f>
        <v>0</v>
      </c>
      <c r="P37" s="89">
        <f>'Entrar Dades'!AH36</f>
        <v>0</v>
      </c>
      <c r="Q37" s="74" t="str">
        <f>'Entrar Dades'!AI36</f>
        <v xml:space="preserve"> </v>
      </c>
      <c r="R37" s="67" t="str">
        <f>'Entrar Dades'!AJ36</f>
        <v xml:space="preserve"> </v>
      </c>
      <c r="S37" s="67" t="str">
        <f>'Entrar Dades'!AK36</f>
        <v xml:space="preserve"> </v>
      </c>
      <c r="T37" s="79" t="str">
        <f>'Entrar Dades'!AL36</f>
        <v xml:space="preserve"> </v>
      </c>
      <c r="U37" s="74" t="str">
        <f>'Entrar Dades'!AN36</f>
        <v xml:space="preserve"> </v>
      </c>
      <c r="V37" s="67" t="str">
        <f>'Entrar Dades'!AO36</f>
        <v xml:space="preserve"> </v>
      </c>
      <c r="W37" s="67" t="str">
        <f>'Entrar Dades'!AP36</f>
        <v>X</v>
      </c>
      <c r="X37" s="79" t="str">
        <f>'Entrar Dades'!AQ36</f>
        <v xml:space="preserve"> </v>
      </c>
      <c r="Y37" s="79" t="str">
        <f>'Entrar Dades'!AR36</f>
        <v xml:space="preserve"> </v>
      </c>
      <c r="Z37" s="69">
        <f>'Entrar Dades'!AS36</f>
        <v>0</v>
      </c>
      <c r="AA37" s="72">
        <f>'Entrar Dades'!AT36</f>
        <v>0</v>
      </c>
    </row>
    <row r="38" spans="2:27" x14ac:dyDescent="0.25">
      <c r="B38" s="94">
        <f>'Entrar Dades'!Q37</f>
        <v>0</v>
      </c>
      <c r="C38" s="83">
        <f>'Entrar Dades'!R37</f>
        <v>0</v>
      </c>
      <c r="D38" s="83">
        <f>'Entrar Dades'!S37</f>
        <v>0</v>
      </c>
      <c r="E38" s="89">
        <f>'Entrar Dades'!T37</f>
        <v>0</v>
      </c>
      <c r="F38" s="74" t="str">
        <f>'Entrar Dades'!U37</f>
        <v xml:space="preserve"> </v>
      </c>
      <c r="G38" s="67" t="str">
        <f>'Entrar Dades'!V37</f>
        <v xml:space="preserve"> </v>
      </c>
      <c r="H38" s="67" t="str">
        <f>'Entrar Dades'!W37</f>
        <v xml:space="preserve"> </v>
      </c>
      <c r="I38" s="79" t="str">
        <f>'Entrar Dades'!X37</f>
        <v xml:space="preserve"> </v>
      </c>
      <c r="J38" s="94">
        <f>'Entrar Dades'!Z37</f>
        <v>0</v>
      </c>
      <c r="K38" s="79" t="str">
        <f>'Entrar Dades'!AA37</f>
        <v xml:space="preserve"> </v>
      </c>
      <c r="L38" s="86" t="str">
        <f>'Entrar Dades'!AC37</f>
        <v xml:space="preserve">34 </v>
      </c>
      <c r="M38" s="96">
        <f>'Entrar Dades'!AE37</f>
        <v>0</v>
      </c>
      <c r="N38" s="83">
        <f>'Entrar Dades'!AF37</f>
        <v>0</v>
      </c>
      <c r="O38" s="83">
        <f>'Entrar Dades'!AG37</f>
        <v>0</v>
      </c>
      <c r="P38" s="89">
        <f>'Entrar Dades'!AH37</f>
        <v>0</v>
      </c>
      <c r="Q38" s="74" t="str">
        <f>'Entrar Dades'!AI37</f>
        <v xml:space="preserve"> </v>
      </c>
      <c r="R38" s="67" t="str">
        <f>'Entrar Dades'!AJ37</f>
        <v xml:space="preserve"> </v>
      </c>
      <c r="S38" s="67" t="str">
        <f>'Entrar Dades'!AK37</f>
        <v xml:space="preserve"> </v>
      </c>
      <c r="T38" s="79" t="str">
        <f>'Entrar Dades'!AL37</f>
        <v xml:space="preserve"> </v>
      </c>
      <c r="U38" s="74" t="str">
        <f>'Entrar Dades'!AN37</f>
        <v xml:space="preserve"> </v>
      </c>
      <c r="V38" s="67" t="str">
        <f>'Entrar Dades'!AO37</f>
        <v xml:space="preserve"> </v>
      </c>
      <c r="W38" s="67" t="str">
        <f>'Entrar Dades'!AP37</f>
        <v>X</v>
      </c>
      <c r="X38" s="79" t="str">
        <f>'Entrar Dades'!AQ37</f>
        <v xml:space="preserve"> </v>
      </c>
      <c r="Y38" s="79" t="str">
        <f>'Entrar Dades'!AR37</f>
        <v xml:space="preserve"> </v>
      </c>
      <c r="Z38" s="69">
        <f>'Entrar Dades'!AS37</f>
        <v>0</v>
      </c>
      <c r="AA38" s="72">
        <f>'Entrar Dades'!AT37</f>
        <v>0</v>
      </c>
    </row>
    <row r="39" spans="2:27" ht="13.8" thickBot="1" x14ac:dyDescent="0.3">
      <c r="B39" s="95">
        <f>'Entrar Dades'!Q38</f>
        <v>0</v>
      </c>
      <c r="C39" s="90">
        <f>'Entrar Dades'!R38</f>
        <v>0</v>
      </c>
      <c r="D39" s="90">
        <f>'Entrar Dades'!S38</f>
        <v>0</v>
      </c>
      <c r="E39" s="91">
        <f>'Entrar Dades'!T38</f>
        <v>0</v>
      </c>
      <c r="F39" s="75" t="str">
        <f>'Entrar Dades'!U38</f>
        <v xml:space="preserve"> </v>
      </c>
      <c r="G39" s="71" t="str">
        <f>'Entrar Dades'!V38</f>
        <v xml:space="preserve"> </v>
      </c>
      <c r="H39" s="71" t="str">
        <f>'Entrar Dades'!W38</f>
        <v xml:space="preserve"> </v>
      </c>
      <c r="I39" s="80" t="str">
        <f>'Entrar Dades'!X38</f>
        <v xml:space="preserve"> </v>
      </c>
      <c r="J39" s="95">
        <f>'Entrar Dades'!Z38</f>
        <v>0</v>
      </c>
      <c r="K39" s="80" t="str">
        <f>'Entrar Dades'!AA38</f>
        <v xml:space="preserve"> </v>
      </c>
      <c r="L39" s="87" t="str">
        <f>'Entrar Dades'!AC38</f>
        <v xml:space="preserve">35 </v>
      </c>
      <c r="M39" s="97">
        <f>'Entrar Dades'!AE38</f>
        <v>0</v>
      </c>
      <c r="N39" s="90">
        <f>'Entrar Dades'!AF38</f>
        <v>0</v>
      </c>
      <c r="O39" s="90">
        <f>'Entrar Dades'!AG38</f>
        <v>0</v>
      </c>
      <c r="P39" s="91">
        <f>'Entrar Dades'!AH38</f>
        <v>0</v>
      </c>
      <c r="Q39" s="75" t="str">
        <f>'Entrar Dades'!AI38</f>
        <v xml:space="preserve"> </v>
      </c>
      <c r="R39" s="71" t="str">
        <f>'Entrar Dades'!AJ38</f>
        <v xml:space="preserve"> </v>
      </c>
      <c r="S39" s="71" t="str">
        <f>'Entrar Dades'!AK38</f>
        <v xml:space="preserve"> </v>
      </c>
      <c r="T39" s="80" t="str">
        <f>'Entrar Dades'!AL38</f>
        <v xml:space="preserve"> </v>
      </c>
      <c r="U39" s="75" t="str">
        <f>'Entrar Dades'!AN38</f>
        <v xml:space="preserve"> </v>
      </c>
      <c r="V39" s="71" t="str">
        <f>'Entrar Dades'!AO38</f>
        <v xml:space="preserve"> </v>
      </c>
      <c r="W39" s="71" t="str">
        <f>'Entrar Dades'!AP38</f>
        <v>X</v>
      </c>
      <c r="X39" s="80" t="str">
        <f>'Entrar Dades'!AQ38</f>
        <v xml:space="preserve"> </v>
      </c>
      <c r="Y39" s="79" t="str">
        <f>'Entrar Dades'!AR38</f>
        <v xml:space="preserve"> </v>
      </c>
      <c r="Z39" s="70">
        <f>'Entrar Dades'!AS38</f>
        <v>0</v>
      </c>
      <c r="AA39" s="73">
        <f>'Entrar Dades'!AT38</f>
        <v>0</v>
      </c>
    </row>
    <row r="40" spans="2:27" s="130" customFormat="1" x14ac:dyDescent="0.3">
      <c r="B40" s="131">
        <f>'Entrar Dades'!Q40</f>
        <v>5.4</v>
      </c>
      <c r="C40" s="132">
        <f>'Entrar Dades'!R40</f>
        <v>1.8</v>
      </c>
      <c r="D40" s="132">
        <f>'Entrar Dades'!S40</f>
        <v>1.8</v>
      </c>
      <c r="E40" s="133">
        <f>'Entrar Dades'!T40</f>
        <v>1.8</v>
      </c>
      <c r="F40" s="134"/>
      <c r="G40" s="134"/>
      <c r="H40" s="134"/>
      <c r="I40" s="134"/>
      <c r="J40" s="135">
        <f>'Entrar Dades'!Z40</f>
        <v>1.8</v>
      </c>
      <c r="L40" s="134" t="s">
        <v>77</v>
      </c>
      <c r="M40" s="131">
        <f>'Entrar Dades'!AE40</f>
        <v>5.4</v>
      </c>
      <c r="N40" s="132">
        <f>'Entrar Dades'!AF40</f>
        <v>1.8</v>
      </c>
      <c r="O40" s="132">
        <f>'Entrar Dades'!AG40</f>
        <v>1.8</v>
      </c>
      <c r="P40" s="133">
        <f>'Entrar Dades'!AH40</f>
        <v>1.8</v>
      </c>
      <c r="Q40" s="134"/>
      <c r="R40" s="134"/>
      <c r="S40" s="134"/>
      <c r="T40" s="134"/>
      <c r="U40" s="134"/>
      <c r="V40" s="134"/>
      <c r="W40" s="134"/>
      <c r="X40" s="134"/>
      <c r="Y40" s="134"/>
      <c r="Z40" s="136">
        <f>'Entrar Dades'!AS40</f>
        <v>1.8</v>
      </c>
      <c r="AA40" s="133">
        <f>'Entrar Dades'!AT40</f>
        <v>1.8</v>
      </c>
    </row>
    <row r="41" spans="2:27" s="130" customFormat="1" ht="13.8" thickBot="1" x14ac:dyDescent="0.35">
      <c r="B41" s="137">
        <f>'Entrar Dades'!Q41</f>
        <v>6.5538493403854341</v>
      </c>
      <c r="C41" s="138">
        <f>'Entrar Dades'!R41</f>
        <v>3.4453720024540337</v>
      </c>
      <c r="D41" s="138">
        <f>'Entrar Dades'!S41</f>
        <v>2.3985289609405571</v>
      </c>
      <c r="E41" s="139">
        <f>'Entrar Dades'!T41</f>
        <v>2.7791238568593353</v>
      </c>
      <c r="F41" s="140"/>
      <c r="G41" s="134"/>
      <c r="H41" s="134"/>
      <c r="I41" s="134"/>
      <c r="J41" s="141">
        <f>'Entrar Dades'!Z41</f>
        <v>2.1011201494329019</v>
      </c>
      <c r="L41" s="134" t="s">
        <v>78</v>
      </c>
      <c r="M41" s="137">
        <f>'Entrar Dades'!AE41</f>
        <v>10.906554963711987</v>
      </c>
      <c r="N41" s="138">
        <f>'Entrar Dades'!AF41</f>
        <v>3.7322127169691015</v>
      </c>
      <c r="O41" s="138">
        <f>'Entrar Dades'!AG41</f>
        <v>3.6606010435446255</v>
      </c>
      <c r="P41" s="139">
        <f>'Entrar Dades'!AH41</f>
        <v>4.4112156521090382</v>
      </c>
      <c r="Q41" s="134"/>
      <c r="R41" s="134"/>
      <c r="S41" s="134"/>
      <c r="T41" s="134"/>
      <c r="U41" s="134"/>
      <c r="V41" s="134"/>
      <c r="W41" s="134"/>
      <c r="X41" s="134"/>
      <c r="Y41" s="134"/>
      <c r="Z41" s="142">
        <f>'Entrar Dades'!AS41</f>
        <v>2.0976176963403028</v>
      </c>
      <c r="AA41" s="139">
        <f>'Entrar Dades'!AT41</f>
        <v>2.8470831306692079</v>
      </c>
    </row>
    <row r="42" spans="2:27" ht="9" customHeight="1" x14ac:dyDescent="0.25">
      <c r="F42" s="4"/>
      <c r="G42" s="4"/>
      <c r="H42" s="4"/>
      <c r="I42" s="4"/>
    </row>
    <row r="45" spans="2:27" x14ac:dyDescent="0.25"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2:27" x14ac:dyDescent="0.25"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2:27" x14ac:dyDescent="0.25"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2:27" x14ac:dyDescent="0.25"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3:25" x14ac:dyDescent="0.25"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3:25" x14ac:dyDescent="0.25"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3:25" x14ac:dyDescent="0.25"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3:25" x14ac:dyDescent="0.25"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3:25" x14ac:dyDescent="0.25"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3:25" x14ac:dyDescent="0.25"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3:25" x14ac:dyDescent="0.25"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3:25" x14ac:dyDescent="0.25"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3:25" x14ac:dyDescent="0.25"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3:25" x14ac:dyDescent="0.25"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3:25" x14ac:dyDescent="0.25"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3:25" x14ac:dyDescent="0.25"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3:25" x14ac:dyDescent="0.25"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3:25" x14ac:dyDescent="0.25"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3:25" x14ac:dyDescent="0.25"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3:25" x14ac:dyDescent="0.25"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3:25" x14ac:dyDescent="0.25"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3:25" x14ac:dyDescent="0.25"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3:25" x14ac:dyDescent="0.25"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3:25" x14ac:dyDescent="0.25"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3:25" x14ac:dyDescent="0.25"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3:25" x14ac:dyDescent="0.25"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3:25" x14ac:dyDescent="0.25"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3:25" x14ac:dyDescent="0.25"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3:25" x14ac:dyDescent="0.25"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3:25" x14ac:dyDescent="0.25"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3:25" x14ac:dyDescent="0.25"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3:25" x14ac:dyDescent="0.25"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3:25" x14ac:dyDescent="0.25"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3:25" x14ac:dyDescent="0.25"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3:25" x14ac:dyDescent="0.25"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3:25" x14ac:dyDescent="0.25"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3:25" x14ac:dyDescent="0.25"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3:25" x14ac:dyDescent="0.25"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3:25" x14ac:dyDescent="0.25"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3:25" x14ac:dyDescent="0.25"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3:25" x14ac:dyDescent="0.25"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3:25" x14ac:dyDescent="0.25"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3:25" x14ac:dyDescent="0.25"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3:25" x14ac:dyDescent="0.25"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3:25" x14ac:dyDescent="0.25"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3:25" x14ac:dyDescent="0.25"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3:25" x14ac:dyDescent="0.25"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</sheetData>
  <mergeCells count="8">
    <mergeCell ref="AF4:AI4"/>
    <mergeCell ref="AJ4:AM4"/>
    <mergeCell ref="B2:L2"/>
    <mergeCell ref="M2:AA2"/>
    <mergeCell ref="M3:T3"/>
    <mergeCell ref="U3:AA3"/>
    <mergeCell ref="J3:K3"/>
    <mergeCell ref="B3:I3"/>
  </mergeCells>
  <phoneticPr fontId="0" type="noConversion"/>
  <pageMargins left="0.25" right="0.25" top="0.75" bottom="0.75" header="0.3" footer="0.3"/>
  <pageSetup paperSize="9" fitToHeight="0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AFF"/>
    <pageSetUpPr fitToPage="1"/>
  </sheetPr>
  <dimension ref="B1:AB123"/>
  <sheetViews>
    <sheetView view="pageBreakPreview" zoomScale="60" zoomScaleNormal="125" zoomScalePageLayoutView="125" workbookViewId="0">
      <pane ySplit="1" topLeftCell="A2" activePane="bottomLeft" state="frozen"/>
      <selection pane="bottomLeft" activeCell="N13" sqref="N13"/>
    </sheetView>
  </sheetViews>
  <sheetFormatPr baseColWidth="10" defaultRowHeight="13.2" x14ac:dyDescent="0.25"/>
  <cols>
    <col min="1" max="1" width="3.33203125" customWidth="1"/>
    <col min="2" max="2" width="30.33203125" customWidth="1"/>
    <col min="3" max="14" width="3.77734375" customWidth="1"/>
    <col min="15" max="15" width="4.6640625" customWidth="1"/>
    <col min="16" max="16" width="30.33203125" customWidth="1"/>
    <col min="17" max="28" width="3.77734375" customWidth="1"/>
    <col min="29" max="31" width="6.33203125" customWidth="1"/>
  </cols>
  <sheetData>
    <row r="1" spans="2:28" ht="4.5" customHeight="1" x14ac:dyDescent="0.25"/>
    <row r="2" spans="2:28" ht="111" customHeight="1" x14ac:dyDescent="0.25">
      <c r="B2" s="93" t="str">
        <f>'Entrar Dades'!B1</f>
        <v xml:space="preserve">Centre i grup: </v>
      </c>
      <c r="C2" s="81" t="s">
        <v>66</v>
      </c>
      <c r="D2" s="81" t="s">
        <v>67</v>
      </c>
      <c r="E2" s="81" t="s">
        <v>70</v>
      </c>
      <c r="F2" s="81" t="s">
        <v>71</v>
      </c>
      <c r="G2" s="81" t="s">
        <v>75</v>
      </c>
      <c r="H2" s="81" t="s">
        <v>76</v>
      </c>
      <c r="I2" s="81" t="s">
        <v>69</v>
      </c>
      <c r="J2" s="81" t="s">
        <v>68</v>
      </c>
      <c r="K2" s="81" t="s">
        <v>74</v>
      </c>
      <c r="L2" s="81" t="s">
        <v>72</v>
      </c>
      <c r="M2" s="81" t="s">
        <v>73</v>
      </c>
      <c r="N2" s="81" t="s">
        <v>46</v>
      </c>
      <c r="P2" s="93" t="str">
        <f>B2</f>
        <v xml:space="preserve">Centre i grup: </v>
      </c>
      <c r="Q2" s="81" t="s">
        <v>66</v>
      </c>
      <c r="R2" s="81" t="s">
        <v>67</v>
      </c>
      <c r="S2" s="81" t="s">
        <v>70</v>
      </c>
      <c r="T2" s="81" t="s">
        <v>71</v>
      </c>
      <c r="U2" s="81" t="s">
        <v>75</v>
      </c>
      <c r="V2" s="81" t="s">
        <v>76</v>
      </c>
      <c r="W2" s="81" t="s">
        <v>69</v>
      </c>
      <c r="X2" s="81" t="s">
        <v>68</v>
      </c>
      <c r="Y2" s="81" t="s">
        <v>74</v>
      </c>
      <c r="Z2" s="81" t="s">
        <v>72</v>
      </c>
      <c r="AA2" s="81" t="s">
        <v>73</v>
      </c>
      <c r="AB2" s="81" t="s">
        <v>46</v>
      </c>
    </row>
    <row r="3" spans="2:28" ht="17.25" customHeight="1" x14ac:dyDescent="0.25">
      <c r="B3" s="92" t="str">
        <f>'Entrar Dades'!B2</f>
        <v xml:space="preserve">Data: </v>
      </c>
      <c r="C3" s="82">
        <v>1</v>
      </c>
      <c r="D3" s="82">
        <v>2</v>
      </c>
      <c r="E3" s="82">
        <v>5</v>
      </c>
      <c r="F3" s="82">
        <v>8</v>
      </c>
      <c r="G3" s="82">
        <v>6</v>
      </c>
      <c r="H3" s="82">
        <v>3</v>
      </c>
      <c r="I3" s="82">
        <v>4</v>
      </c>
      <c r="J3" s="82">
        <v>7</v>
      </c>
      <c r="K3" s="82">
        <v>9</v>
      </c>
      <c r="L3" s="82">
        <v>10</v>
      </c>
      <c r="M3" s="82">
        <v>11</v>
      </c>
      <c r="N3" s="82">
        <v>12</v>
      </c>
      <c r="P3" s="92" t="str">
        <f>B3</f>
        <v xml:space="preserve">Data: </v>
      </c>
      <c r="Q3" s="82">
        <v>1</v>
      </c>
      <c r="R3" s="82">
        <v>2</v>
      </c>
      <c r="S3" s="82">
        <v>5</v>
      </c>
      <c r="T3" s="82">
        <v>8</v>
      </c>
      <c r="U3" s="82">
        <v>6</v>
      </c>
      <c r="V3" s="82">
        <v>3</v>
      </c>
      <c r="W3" s="82">
        <v>4</v>
      </c>
      <c r="X3" s="82">
        <v>7</v>
      </c>
      <c r="Y3" s="82">
        <v>9</v>
      </c>
      <c r="Z3" s="82">
        <v>10</v>
      </c>
      <c r="AA3" s="82">
        <v>11</v>
      </c>
      <c r="AB3" s="82">
        <v>12</v>
      </c>
    </row>
    <row r="4" spans="2:28" ht="13.8" x14ac:dyDescent="0.25">
      <c r="B4" s="105" t="str">
        <f>'Entrar Dades'!A50&amp;" "&amp;'Entrar Dades'!B50</f>
        <v xml:space="preserve">1 </v>
      </c>
      <c r="C4" s="106">
        <f>'Entrar Dades'!C50</f>
        <v>3</v>
      </c>
      <c r="D4" s="107">
        <f>'Entrar Dades'!D50</f>
        <v>16</v>
      </c>
      <c r="E4" s="106">
        <f>'Entrar Dades'!G50</f>
        <v>18</v>
      </c>
      <c r="F4" s="108">
        <f>'Entrar Dades'!J50</f>
        <v>11</v>
      </c>
      <c r="G4" s="108">
        <f>'Entrar Dades'!H50</f>
        <v>6</v>
      </c>
      <c r="H4" s="107">
        <f>'Entrar Dades'!E50</f>
        <v>16</v>
      </c>
      <c r="I4" s="106">
        <f>'Entrar Dades'!F50</f>
        <v>10</v>
      </c>
      <c r="J4" s="107">
        <f>'Entrar Dades'!I50</f>
        <v>11</v>
      </c>
      <c r="K4" s="108">
        <f>'Entrar Dades'!K50</f>
        <v>6</v>
      </c>
      <c r="L4" s="108">
        <f>'Entrar Dades'!L50</f>
        <v>4</v>
      </c>
      <c r="M4" s="107">
        <f>'Entrar Dades'!M50</f>
        <v>7</v>
      </c>
      <c r="N4" s="105">
        <f>'Entrar Dades'!N50</f>
        <v>18</v>
      </c>
      <c r="O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2:28" ht="13.8" x14ac:dyDescent="0.25">
      <c r="B5" s="105"/>
      <c r="C5" s="106">
        <f>'Entrar Dades'!C51</f>
        <v>9</v>
      </c>
      <c r="D5" s="107">
        <f>'Entrar Dades'!D51</f>
        <v>6</v>
      </c>
      <c r="E5" s="106">
        <f>'Entrar Dades'!G51</f>
        <v>6</v>
      </c>
      <c r="F5" s="108">
        <f>'Entrar Dades'!J51</f>
        <v>14</v>
      </c>
      <c r="G5" s="108">
        <f>'Entrar Dades'!H51</f>
        <v>9</v>
      </c>
      <c r="H5" s="107">
        <f>'Entrar Dades'!E51</f>
        <v>19</v>
      </c>
      <c r="I5" s="106">
        <f>'Entrar Dades'!F51</f>
        <v>16</v>
      </c>
      <c r="J5" s="107">
        <f>'Entrar Dades'!I51</f>
        <v>10</v>
      </c>
      <c r="K5" s="108">
        <f>'Entrar Dades'!K51</f>
        <v>4</v>
      </c>
      <c r="L5" s="108">
        <f>'Entrar Dades'!L51</f>
        <v>6</v>
      </c>
      <c r="M5" s="107">
        <f>'Entrar Dades'!M51</f>
        <v>6</v>
      </c>
      <c r="N5" s="105">
        <f>'Entrar Dades'!N51</f>
        <v>9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2:28" ht="13.8" x14ac:dyDescent="0.25">
      <c r="B6" s="105"/>
      <c r="C6" s="106">
        <f>'Entrar Dades'!C52</f>
        <v>13</v>
      </c>
      <c r="D6" s="107">
        <f>'Entrar Dades'!D52</f>
        <v>19</v>
      </c>
      <c r="E6" s="106">
        <f>'Entrar Dades'!G52</f>
        <v>9</v>
      </c>
      <c r="F6" s="108">
        <f>'Entrar Dades'!J52</f>
        <v>4</v>
      </c>
      <c r="G6" s="108">
        <f>'Entrar Dades'!H52</f>
        <v>12</v>
      </c>
      <c r="H6" s="107">
        <f>'Entrar Dades'!E52</f>
        <v>10</v>
      </c>
      <c r="I6" s="106">
        <f>'Entrar Dades'!F52</f>
        <v>15</v>
      </c>
      <c r="J6" s="107">
        <f>'Entrar Dades'!I52</f>
        <v>8</v>
      </c>
      <c r="K6" s="108">
        <f>'Entrar Dades'!K52</f>
        <v>10</v>
      </c>
      <c r="L6" s="108">
        <f>'Entrar Dades'!L52</f>
        <v>15</v>
      </c>
      <c r="M6" s="107">
        <f>'Entrar Dades'!M52</f>
        <v>21</v>
      </c>
      <c r="N6" s="105">
        <f>'Entrar Dades'!N52</f>
        <v>8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2:28" ht="13.8" x14ac:dyDescent="0.25">
      <c r="B7" s="109" t="str">
        <f>'Entrar Dades'!A53&amp;" "&amp;'Entrar Dades'!B53</f>
        <v xml:space="preserve">2 </v>
      </c>
      <c r="C7" s="110">
        <f>'Entrar Dades'!C53</f>
        <v>4</v>
      </c>
      <c r="D7" s="111">
        <f>'Entrar Dades'!D53</f>
        <v>14</v>
      </c>
      <c r="E7" s="110">
        <f>'Entrar Dades'!G53</f>
        <v>16</v>
      </c>
      <c r="F7" s="112">
        <f>'Entrar Dades'!J53</f>
        <v>3</v>
      </c>
      <c r="G7" s="112">
        <f>'Entrar Dades'!H53</f>
        <v>7</v>
      </c>
      <c r="H7" s="111">
        <f>'Entrar Dades'!E53</f>
        <v>6</v>
      </c>
      <c r="I7" s="110">
        <f>'Entrar Dades'!F53</f>
        <v>9</v>
      </c>
      <c r="J7" s="111">
        <f>'Entrar Dades'!I53</f>
        <v>14</v>
      </c>
      <c r="K7" s="112">
        <f>'Entrar Dades'!K53</f>
        <v>4</v>
      </c>
      <c r="L7" s="112">
        <f>'Entrar Dades'!L53</f>
        <v>4</v>
      </c>
      <c r="M7" s="111">
        <f>'Entrar Dades'!M53</f>
        <v>14</v>
      </c>
      <c r="N7" s="109">
        <f>'Entrar Dades'!N53</f>
        <v>4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2:28" ht="13.8" x14ac:dyDescent="0.25">
      <c r="B8" s="109"/>
      <c r="C8" s="110">
        <f>'Entrar Dades'!C54</f>
        <v>11</v>
      </c>
      <c r="D8" s="111">
        <f>'Entrar Dades'!D54</f>
        <v>16</v>
      </c>
      <c r="E8" s="110">
        <f>'Entrar Dades'!G54</f>
        <v>9</v>
      </c>
      <c r="F8" s="112">
        <f>'Entrar Dades'!J54</f>
        <v>11</v>
      </c>
      <c r="G8" s="112">
        <f>'Entrar Dades'!H54</f>
        <v>8</v>
      </c>
      <c r="H8" s="111">
        <f>'Entrar Dades'!E54</f>
        <v>16</v>
      </c>
      <c r="I8" s="110">
        <f>'Entrar Dades'!F54</f>
        <v>6</v>
      </c>
      <c r="J8" s="111">
        <f>'Entrar Dades'!I54</f>
        <v>9</v>
      </c>
      <c r="K8" s="112">
        <f>'Entrar Dades'!K54</f>
        <v>10</v>
      </c>
      <c r="L8" s="112">
        <f>'Entrar Dades'!L54</f>
        <v>10</v>
      </c>
      <c r="M8" s="111">
        <f>'Entrar Dades'!M54</f>
        <v>6</v>
      </c>
      <c r="N8" s="109">
        <f>'Entrar Dades'!N54</f>
        <v>11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2:28" ht="13.8" x14ac:dyDescent="0.25">
      <c r="B9" s="109"/>
      <c r="C9" s="110">
        <f>'Entrar Dades'!C55</f>
        <v>19</v>
      </c>
      <c r="D9" s="111">
        <f>'Entrar Dades'!D55</f>
        <v>10</v>
      </c>
      <c r="E9" s="110">
        <f>'Entrar Dades'!G55</f>
        <v>6</v>
      </c>
      <c r="F9" s="112">
        <f>'Entrar Dades'!J55</f>
        <v>4</v>
      </c>
      <c r="G9" s="112">
        <f>'Entrar Dades'!H55</f>
        <v>18</v>
      </c>
      <c r="H9" s="111">
        <f>'Entrar Dades'!E55</f>
        <v>17</v>
      </c>
      <c r="I9" s="110">
        <f>'Entrar Dades'!F55</f>
        <v>19</v>
      </c>
      <c r="J9" s="111">
        <f>'Entrar Dades'!I55</f>
        <v>5</v>
      </c>
      <c r="K9" s="112">
        <f>'Entrar Dades'!K55</f>
        <v>6</v>
      </c>
      <c r="L9" s="112">
        <f>'Entrar Dades'!L55</f>
        <v>6</v>
      </c>
      <c r="M9" s="111">
        <f>'Entrar Dades'!M55</f>
        <v>1</v>
      </c>
      <c r="N9" s="109">
        <f>'Entrar Dades'!N55</f>
        <v>19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2:28" ht="13.8" x14ac:dyDescent="0.25">
      <c r="B10" s="105" t="str">
        <f>'Entrar Dades'!A56&amp;" "&amp;'Entrar Dades'!B56</f>
        <v xml:space="preserve">3 </v>
      </c>
      <c r="C10" s="106">
        <f>'Entrar Dades'!C56</f>
        <v>13</v>
      </c>
      <c r="D10" s="107">
        <f>'Entrar Dades'!D56</f>
        <v>15</v>
      </c>
      <c r="E10" s="106">
        <f>'Entrar Dades'!G56</f>
        <v>18</v>
      </c>
      <c r="F10" s="108">
        <f>'Entrar Dades'!J56</f>
        <v>13</v>
      </c>
      <c r="G10" s="108">
        <f>'Entrar Dades'!H56</f>
        <v>21</v>
      </c>
      <c r="H10" s="107">
        <f>'Entrar Dades'!E56</f>
        <v>16</v>
      </c>
      <c r="I10" s="106">
        <f>'Entrar Dades'!F56</f>
        <v>16</v>
      </c>
      <c r="J10" s="107">
        <f>'Entrar Dades'!I56</f>
        <v>8</v>
      </c>
      <c r="K10" s="108">
        <f>'Entrar Dades'!K56</f>
        <v>4</v>
      </c>
      <c r="L10" s="108">
        <f>'Entrar Dades'!L56</f>
        <v>15</v>
      </c>
      <c r="M10" s="107">
        <f>'Entrar Dades'!M56</f>
        <v>14</v>
      </c>
      <c r="N10" s="105">
        <f>'Entrar Dades'!N56</f>
        <v>13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2:28" ht="13.8" x14ac:dyDescent="0.25">
      <c r="B11" s="105"/>
      <c r="C11" s="106">
        <f>'Entrar Dades'!C57</f>
        <v>1</v>
      </c>
      <c r="D11" s="107">
        <f>'Entrar Dades'!D57</f>
        <v>7</v>
      </c>
      <c r="E11" s="106">
        <f>'Entrar Dades'!G57</f>
        <v>9</v>
      </c>
      <c r="F11" s="108">
        <f>'Entrar Dades'!J57</f>
        <v>5</v>
      </c>
      <c r="G11" s="108">
        <f>'Entrar Dades'!H57</f>
        <v>15</v>
      </c>
      <c r="H11" s="107">
        <f>'Entrar Dades'!E57</f>
        <v>10</v>
      </c>
      <c r="I11" s="106">
        <f>'Entrar Dades'!F57</f>
        <v>9</v>
      </c>
      <c r="J11" s="107">
        <f>'Entrar Dades'!I57</f>
        <v>3</v>
      </c>
      <c r="K11" s="108">
        <f>'Entrar Dades'!K57</f>
        <v>6</v>
      </c>
      <c r="L11" s="108">
        <f>'Entrar Dades'!L57</f>
        <v>6</v>
      </c>
      <c r="M11" s="107">
        <f>'Entrar Dades'!M57</f>
        <v>7</v>
      </c>
      <c r="N11" s="105">
        <f>'Entrar Dades'!N57</f>
        <v>1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2:28" ht="13.8" x14ac:dyDescent="0.25">
      <c r="B12" s="105"/>
      <c r="C12" s="106">
        <f>'Entrar Dades'!C58</f>
        <v>5</v>
      </c>
      <c r="D12" s="107">
        <f>'Entrar Dades'!D58</f>
        <v>16</v>
      </c>
      <c r="E12" s="106">
        <f>'Entrar Dades'!G58</f>
        <v>16</v>
      </c>
      <c r="F12" s="108">
        <f>'Entrar Dades'!J58</f>
        <v>8</v>
      </c>
      <c r="G12" s="108">
        <f>'Entrar Dades'!H58</f>
        <v>7</v>
      </c>
      <c r="H12" s="107">
        <f>'Entrar Dades'!E58</f>
        <v>6</v>
      </c>
      <c r="I12" s="106">
        <f>'Entrar Dades'!F58</f>
        <v>15</v>
      </c>
      <c r="J12" s="107">
        <f>'Entrar Dades'!I58</f>
        <v>9</v>
      </c>
      <c r="K12" s="108">
        <f>'Entrar Dades'!K58</f>
        <v>10</v>
      </c>
      <c r="L12" s="108">
        <f>'Entrar Dades'!L58</f>
        <v>4</v>
      </c>
      <c r="M12" s="107">
        <f>'Entrar Dades'!M58</f>
        <v>6</v>
      </c>
      <c r="N12" s="105">
        <f>'Entrar Dades'!N58</f>
        <v>18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2:28" ht="13.8" x14ac:dyDescent="0.25">
      <c r="B13" s="109" t="str">
        <f>'Entrar Dades'!A59&amp;" "&amp;'Entrar Dades'!B59</f>
        <v xml:space="preserve">4 </v>
      </c>
      <c r="C13" s="110">
        <f>'Entrar Dades'!C59</f>
        <v>2</v>
      </c>
      <c r="D13" s="111">
        <f>'Entrar Dades'!D59</f>
        <v>12</v>
      </c>
      <c r="E13" s="110">
        <f>'Entrar Dades'!G59</f>
        <v>6</v>
      </c>
      <c r="F13" s="112">
        <f>'Entrar Dades'!J59</f>
        <v>11</v>
      </c>
      <c r="G13" s="112">
        <f>'Entrar Dades'!H59</f>
        <v>9</v>
      </c>
      <c r="H13" s="111">
        <f>'Entrar Dades'!E59</f>
        <v>16</v>
      </c>
      <c r="I13" s="110">
        <f>'Entrar Dades'!F59</f>
        <v>1</v>
      </c>
      <c r="J13" s="111">
        <f>'Entrar Dades'!I59</f>
        <v>11</v>
      </c>
      <c r="K13" s="112">
        <f>'Entrar Dades'!K59</f>
        <v>10</v>
      </c>
      <c r="L13" s="112">
        <f>'Entrar Dades'!L59</f>
        <v>6</v>
      </c>
      <c r="M13" s="111">
        <f>'Entrar Dades'!M59</f>
        <v>6</v>
      </c>
      <c r="N13" s="109">
        <f>'Entrar Dades'!N59</f>
        <v>2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2:28" ht="13.8" x14ac:dyDescent="0.25">
      <c r="B14" s="109"/>
      <c r="C14" s="110">
        <f>'Entrar Dades'!C60</f>
        <v>11</v>
      </c>
      <c r="D14" s="111">
        <f>'Entrar Dades'!D60</f>
        <v>6</v>
      </c>
      <c r="E14" s="110">
        <f>'Entrar Dades'!G60</f>
        <v>14</v>
      </c>
      <c r="F14" s="112">
        <f>'Entrar Dades'!J60</f>
        <v>14</v>
      </c>
      <c r="G14" s="112">
        <f>'Entrar Dades'!H60</f>
        <v>6</v>
      </c>
      <c r="H14" s="111">
        <f>'Entrar Dades'!E60</f>
        <v>11</v>
      </c>
      <c r="I14" s="110">
        <f>'Entrar Dades'!F60</f>
        <v>6</v>
      </c>
      <c r="J14" s="111">
        <f>'Entrar Dades'!I60</f>
        <v>14</v>
      </c>
      <c r="K14" s="112">
        <f>'Entrar Dades'!K60</f>
        <v>7</v>
      </c>
      <c r="L14" s="112">
        <f>'Entrar Dades'!L60</f>
        <v>10</v>
      </c>
      <c r="M14" s="111">
        <f>'Entrar Dades'!M60</f>
        <v>10</v>
      </c>
      <c r="N14" s="109">
        <f>'Entrar Dades'!N60</f>
        <v>11</v>
      </c>
    </row>
    <row r="15" spans="2:28" ht="13.8" x14ac:dyDescent="0.25">
      <c r="B15" s="109"/>
      <c r="C15" s="110">
        <f>'Entrar Dades'!C61</f>
        <v>19</v>
      </c>
      <c r="D15" s="111">
        <f>'Entrar Dades'!D61</f>
        <v>14</v>
      </c>
      <c r="E15" s="110">
        <f>'Entrar Dades'!G61</f>
        <v>7</v>
      </c>
      <c r="F15" s="112">
        <f>'Entrar Dades'!J61</f>
        <v>9</v>
      </c>
      <c r="G15" s="112">
        <f>'Entrar Dades'!H61</f>
        <v>12</v>
      </c>
      <c r="H15" s="111">
        <f>'Entrar Dades'!E61</f>
        <v>21</v>
      </c>
      <c r="I15" s="110">
        <f>'Entrar Dades'!F61</f>
        <v>16</v>
      </c>
      <c r="J15" s="111">
        <f>'Entrar Dades'!I61</f>
        <v>9</v>
      </c>
      <c r="K15" s="112">
        <f>'Entrar Dades'!K61</f>
        <v>16</v>
      </c>
      <c r="L15" s="112">
        <f>'Entrar Dades'!L61</f>
        <v>14</v>
      </c>
      <c r="M15" s="111">
        <f>'Entrar Dades'!M61</f>
        <v>1</v>
      </c>
      <c r="N15" s="109">
        <f>'Entrar Dades'!N61</f>
        <v>19</v>
      </c>
    </row>
    <row r="16" spans="2:28" ht="13.8" x14ac:dyDescent="0.25">
      <c r="B16" s="105" t="str">
        <f>'Entrar Dades'!A62&amp;" "&amp;'Entrar Dades'!B62</f>
        <v xml:space="preserve">5 </v>
      </c>
      <c r="C16" s="106">
        <f>'Entrar Dades'!C62</f>
        <v>8</v>
      </c>
      <c r="D16" s="107">
        <f>'Entrar Dades'!D62</f>
        <v>2</v>
      </c>
      <c r="E16" s="106">
        <f>'Entrar Dades'!G62</f>
        <v>9</v>
      </c>
      <c r="F16" s="108">
        <f>'Entrar Dades'!J62</f>
        <v>12</v>
      </c>
      <c r="G16" s="108">
        <f>'Entrar Dades'!H62</f>
        <v>9</v>
      </c>
      <c r="H16" s="107">
        <f>'Entrar Dades'!E62</f>
        <v>6</v>
      </c>
      <c r="I16" s="106">
        <f>'Entrar Dades'!F62</f>
        <v>7</v>
      </c>
      <c r="J16" s="107">
        <f>'Entrar Dades'!I62</f>
        <v>3</v>
      </c>
      <c r="K16" s="108">
        <f>'Entrar Dades'!K62</f>
        <v>4</v>
      </c>
      <c r="L16" s="108">
        <f>'Entrar Dades'!L62</f>
        <v>4</v>
      </c>
      <c r="M16" s="107">
        <f>'Entrar Dades'!M62</f>
        <v>6</v>
      </c>
      <c r="N16" s="105">
        <f>'Entrar Dades'!N62</f>
        <v>8</v>
      </c>
    </row>
    <row r="17" spans="2:14" ht="13.8" x14ac:dyDescent="0.25">
      <c r="B17" s="105"/>
      <c r="C17" s="106">
        <f>'Entrar Dades'!C63</f>
        <v>9</v>
      </c>
      <c r="D17" s="107">
        <f>'Entrar Dades'!D63</f>
        <v>6</v>
      </c>
      <c r="E17" s="106">
        <f>'Entrar Dades'!G63</f>
        <v>6</v>
      </c>
      <c r="F17" s="108">
        <f>'Entrar Dades'!J63</f>
        <v>18</v>
      </c>
      <c r="G17" s="108">
        <f>'Entrar Dades'!H63</f>
        <v>2</v>
      </c>
      <c r="H17" s="107">
        <f>'Entrar Dades'!E63</f>
        <v>17</v>
      </c>
      <c r="I17" s="106">
        <f>'Entrar Dades'!F63</f>
        <v>10</v>
      </c>
      <c r="J17" s="107">
        <f>'Entrar Dades'!I63</f>
        <v>12</v>
      </c>
      <c r="K17" s="108">
        <f>'Entrar Dades'!K63</f>
        <v>6</v>
      </c>
      <c r="L17" s="108">
        <f>'Entrar Dades'!L63</f>
        <v>6</v>
      </c>
      <c r="M17" s="107">
        <f>'Entrar Dades'!M63</f>
        <v>1</v>
      </c>
      <c r="N17" s="105">
        <f>'Entrar Dades'!N63</f>
        <v>12</v>
      </c>
    </row>
    <row r="18" spans="2:14" ht="13.8" x14ac:dyDescent="0.25">
      <c r="B18" s="105"/>
      <c r="C18" s="106">
        <f>'Entrar Dades'!C64</f>
        <v>20</v>
      </c>
      <c r="D18" s="107">
        <f>'Entrar Dades'!D64</f>
        <v>7</v>
      </c>
      <c r="E18" s="106">
        <f>'Entrar Dades'!G64</f>
        <v>18</v>
      </c>
      <c r="F18" s="108">
        <f>'Entrar Dades'!J64</f>
        <v>20</v>
      </c>
      <c r="G18" s="108">
        <f>'Entrar Dades'!H64</f>
        <v>6</v>
      </c>
      <c r="H18" s="107">
        <f>'Entrar Dades'!E64</f>
        <v>16</v>
      </c>
      <c r="I18" s="106">
        <f>'Entrar Dades'!F64</f>
        <v>16</v>
      </c>
      <c r="J18" s="107">
        <f>'Entrar Dades'!I64</f>
        <v>9</v>
      </c>
      <c r="K18" s="108">
        <f>'Entrar Dades'!K64</f>
        <v>7</v>
      </c>
      <c r="L18" s="108">
        <f>'Entrar Dades'!L64</f>
        <v>15</v>
      </c>
      <c r="M18" s="107">
        <f>'Entrar Dades'!M64</f>
        <v>7</v>
      </c>
      <c r="N18" s="105">
        <f>'Entrar Dades'!N64</f>
        <v>20</v>
      </c>
    </row>
    <row r="19" spans="2:14" ht="13.8" x14ac:dyDescent="0.25">
      <c r="B19" s="109" t="str">
        <f>'Entrar Dades'!A65&amp;" "&amp;'Entrar Dades'!B65</f>
        <v xml:space="preserve">6 </v>
      </c>
      <c r="C19" s="110">
        <f>'Entrar Dades'!C65</f>
        <v>10</v>
      </c>
      <c r="D19" s="111">
        <f>'Entrar Dades'!D65</f>
        <v>1</v>
      </c>
      <c r="E19" s="110">
        <f>'Entrar Dades'!G65</f>
        <v>2</v>
      </c>
      <c r="F19" s="112">
        <f>'Entrar Dades'!J65</f>
        <v>10</v>
      </c>
      <c r="G19" s="112">
        <f>'Entrar Dades'!H65</f>
        <v>9</v>
      </c>
      <c r="H19" s="111">
        <f>'Entrar Dades'!E65</f>
        <v>16</v>
      </c>
      <c r="I19" s="110">
        <f>'Entrar Dades'!F65</f>
        <v>17</v>
      </c>
      <c r="J19" s="111">
        <f>'Entrar Dades'!I65</f>
        <v>10</v>
      </c>
      <c r="K19" s="112">
        <f>'Entrar Dades'!K65</f>
        <v>7</v>
      </c>
      <c r="L19" s="112">
        <f>'Entrar Dades'!L65</f>
        <v>7</v>
      </c>
      <c r="M19" s="111">
        <f>'Entrar Dades'!M65</f>
        <v>7</v>
      </c>
      <c r="N19" s="109">
        <f>'Entrar Dades'!N65</f>
        <v>10</v>
      </c>
    </row>
    <row r="20" spans="2:14" ht="13.8" x14ac:dyDescent="0.25">
      <c r="B20" s="109"/>
      <c r="C20" s="110">
        <f>'Entrar Dades'!C66</f>
        <v>2</v>
      </c>
      <c r="D20" s="111">
        <f>'Entrar Dades'!D66</f>
        <v>16</v>
      </c>
      <c r="E20" s="110">
        <f>'Entrar Dades'!G66</f>
        <v>16</v>
      </c>
      <c r="F20" s="112">
        <f>'Entrar Dades'!J66</f>
        <v>17</v>
      </c>
      <c r="G20" s="112">
        <f>'Entrar Dades'!H66</f>
        <v>16</v>
      </c>
      <c r="H20" s="111">
        <f>'Entrar Dades'!E66</f>
        <v>17</v>
      </c>
      <c r="I20" s="110">
        <f>'Entrar Dades'!F66</f>
        <v>16</v>
      </c>
      <c r="J20" s="111">
        <f>'Entrar Dades'!I66</f>
        <v>5</v>
      </c>
      <c r="K20" s="112">
        <f>'Entrar Dades'!K66</f>
        <v>21</v>
      </c>
      <c r="L20" s="112">
        <f>'Entrar Dades'!L66</f>
        <v>17</v>
      </c>
      <c r="M20" s="111">
        <f>'Entrar Dades'!M66</f>
        <v>17</v>
      </c>
      <c r="N20" s="109">
        <f>'Entrar Dades'!N66</f>
        <v>17</v>
      </c>
    </row>
    <row r="21" spans="2:14" ht="13.8" x14ac:dyDescent="0.25">
      <c r="B21" s="109"/>
      <c r="C21" s="110">
        <f>'Entrar Dades'!C67</f>
        <v>8</v>
      </c>
      <c r="D21" s="111">
        <f>'Entrar Dades'!D67</f>
        <v>21</v>
      </c>
      <c r="E21" s="110">
        <f>'Entrar Dades'!G67</f>
        <v>1</v>
      </c>
      <c r="F21" s="112">
        <f>'Entrar Dades'!J67</f>
        <v>19</v>
      </c>
      <c r="G21" s="112">
        <f>'Entrar Dades'!H67</f>
        <v>17</v>
      </c>
      <c r="H21" s="111">
        <f>'Entrar Dades'!E67</f>
        <v>11</v>
      </c>
      <c r="I21" s="110">
        <f>'Entrar Dades'!F67</f>
        <v>11</v>
      </c>
      <c r="J21" s="111">
        <f>'Entrar Dades'!I67</f>
        <v>8</v>
      </c>
      <c r="K21" s="112">
        <f>'Entrar Dades'!K67</f>
        <v>11</v>
      </c>
      <c r="L21" s="112">
        <f>'Entrar Dades'!L67</f>
        <v>11</v>
      </c>
      <c r="M21" s="111">
        <f>'Entrar Dades'!M67</f>
        <v>21</v>
      </c>
      <c r="N21" s="109">
        <f>'Entrar Dades'!N67</f>
        <v>19</v>
      </c>
    </row>
    <row r="22" spans="2:14" ht="13.8" x14ac:dyDescent="0.25">
      <c r="B22" s="105" t="str">
        <f>'Entrar Dades'!A68&amp;" "&amp;'Entrar Dades'!B68</f>
        <v xml:space="preserve">7 </v>
      </c>
      <c r="C22" s="106">
        <f>'Entrar Dades'!C68</f>
        <v>2</v>
      </c>
      <c r="D22" s="107">
        <f>'Entrar Dades'!D68</f>
        <v>5</v>
      </c>
      <c r="E22" s="106">
        <f>'Entrar Dades'!G68</f>
        <v>10</v>
      </c>
      <c r="F22" s="108">
        <f>'Entrar Dades'!J68</f>
        <v>11</v>
      </c>
      <c r="G22" s="108">
        <f>'Entrar Dades'!H68</f>
        <v>9</v>
      </c>
      <c r="H22" s="107">
        <f>'Entrar Dades'!E68</f>
        <v>16</v>
      </c>
      <c r="I22" s="106">
        <f>'Entrar Dades'!F68</f>
        <v>1</v>
      </c>
      <c r="J22" s="107">
        <f>'Entrar Dades'!I68</f>
        <v>11</v>
      </c>
      <c r="K22" s="108">
        <f>'Entrar Dades'!K68</f>
        <v>11</v>
      </c>
      <c r="L22" s="108">
        <f>'Entrar Dades'!L68</f>
        <v>6</v>
      </c>
      <c r="M22" s="107">
        <f>'Entrar Dades'!M68</f>
        <v>6</v>
      </c>
      <c r="N22" s="105">
        <f>'Entrar Dades'!N68</f>
        <v>11</v>
      </c>
    </row>
    <row r="23" spans="2:14" ht="13.8" x14ac:dyDescent="0.25">
      <c r="B23" s="105"/>
      <c r="C23" s="106">
        <f>'Entrar Dades'!C69</f>
        <v>4</v>
      </c>
      <c r="D23" s="107">
        <f>'Entrar Dades'!D69</f>
        <v>9</v>
      </c>
      <c r="E23" s="106">
        <f>'Entrar Dades'!G69</f>
        <v>1</v>
      </c>
      <c r="F23" s="108">
        <f>'Entrar Dades'!J69</f>
        <v>18</v>
      </c>
      <c r="G23" s="108">
        <f>'Entrar Dades'!H69</f>
        <v>16</v>
      </c>
      <c r="H23" s="107">
        <f>'Entrar Dades'!E69</f>
        <v>15</v>
      </c>
      <c r="I23" s="106">
        <f>'Entrar Dades'!F69</f>
        <v>6</v>
      </c>
      <c r="J23" s="107">
        <f>'Entrar Dades'!I69</f>
        <v>8</v>
      </c>
      <c r="K23" s="108">
        <f>'Entrar Dades'!K69</f>
        <v>21</v>
      </c>
      <c r="L23" s="108">
        <f>'Entrar Dades'!L69</f>
        <v>10</v>
      </c>
      <c r="M23" s="107">
        <f>'Entrar Dades'!M69</f>
        <v>1</v>
      </c>
      <c r="N23" s="105">
        <f>'Entrar Dades'!N69</f>
        <v>4</v>
      </c>
    </row>
    <row r="24" spans="2:14" ht="13.8" x14ac:dyDescent="0.25">
      <c r="B24" s="105"/>
      <c r="C24" s="106">
        <f>'Entrar Dades'!C70</f>
        <v>10</v>
      </c>
      <c r="D24" s="107">
        <f>'Entrar Dades'!D70</f>
        <v>12</v>
      </c>
      <c r="E24" s="106">
        <f>'Entrar Dades'!G70</f>
        <v>6</v>
      </c>
      <c r="F24" s="108">
        <f>'Entrar Dades'!J70</f>
        <v>21</v>
      </c>
      <c r="G24" s="108">
        <f>'Entrar Dades'!H70</f>
        <v>17</v>
      </c>
      <c r="H24" s="107">
        <f>'Entrar Dades'!E70</f>
        <v>11</v>
      </c>
      <c r="I24" s="106">
        <f>'Entrar Dades'!F70</f>
        <v>15</v>
      </c>
      <c r="J24" s="107">
        <f>'Entrar Dades'!I70</f>
        <v>18</v>
      </c>
      <c r="K24" s="108">
        <f>'Entrar Dades'!K70</f>
        <v>19</v>
      </c>
      <c r="L24" s="108">
        <f>'Entrar Dades'!L70</f>
        <v>9</v>
      </c>
      <c r="M24" s="107">
        <f>'Entrar Dades'!M70</f>
        <v>13</v>
      </c>
      <c r="N24" s="105">
        <f>'Entrar Dades'!N70</f>
        <v>18</v>
      </c>
    </row>
    <row r="25" spans="2:14" ht="13.8" x14ac:dyDescent="0.25">
      <c r="B25" s="109" t="str">
        <f>'Entrar Dades'!A71&amp;" "&amp;'Entrar Dades'!B71</f>
        <v xml:space="preserve">8 </v>
      </c>
      <c r="C25" s="110">
        <f>'Entrar Dades'!C71</f>
        <v>5</v>
      </c>
      <c r="D25" s="111">
        <f>'Entrar Dades'!D71</f>
        <v>4</v>
      </c>
      <c r="E25" s="110">
        <f>'Entrar Dades'!G71</f>
        <v>16</v>
      </c>
      <c r="F25" s="112">
        <f>'Entrar Dades'!J71</f>
        <v>10</v>
      </c>
      <c r="G25" s="112">
        <f>'Entrar Dades'!H71</f>
        <v>9</v>
      </c>
      <c r="H25" s="111">
        <f>'Entrar Dades'!E71</f>
        <v>6</v>
      </c>
      <c r="I25" s="110">
        <f>'Entrar Dades'!F71</f>
        <v>6</v>
      </c>
      <c r="J25" s="111">
        <f>'Entrar Dades'!I71</f>
        <v>14</v>
      </c>
      <c r="K25" s="112">
        <f>'Entrar Dades'!K71</f>
        <v>6</v>
      </c>
      <c r="L25" s="112">
        <f>'Entrar Dades'!L71</f>
        <v>14</v>
      </c>
      <c r="M25" s="111">
        <f>'Entrar Dades'!M71</f>
        <v>6</v>
      </c>
      <c r="N25" s="109">
        <f>'Entrar Dades'!N71</f>
        <v>9</v>
      </c>
    </row>
    <row r="26" spans="2:14" ht="13.8" x14ac:dyDescent="0.25">
      <c r="B26" s="109"/>
      <c r="C26" s="110">
        <f>'Entrar Dades'!C72</f>
        <v>9</v>
      </c>
      <c r="D26" s="111">
        <f>'Entrar Dades'!D72</f>
        <v>2</v>
      </c>
      <c r="E26" s="110">
        <f>'Entrar Dades'!G72</f>
        <v>6</v>
      </c>
      <c r="F26" s="112">
        <f>'Entrar Dades'!J72</f>
        <v>11</v>
      </c>
      <c r="G26" s="112">
        <f>'Entrar Dades'!H72</f>
        <v>3</v>
      </c>
      <c r="H26" s="111">
        <f>'Entrar Dades'!E72</f>
        <v>21</v>
      </c>
      <c r="I26" s="110">
        <f>'Entrar Dades'!F72</f>
        <v>4</v>
      </c>
      <c r="J26" s="111">
        <f>'Entrar Dades'!I72</f>
        <v>16</v>
      </c>
      <c r="K26" s="112">
        <f>'Entrar Dades'!K72</f>
        <v>4</v>
      </c>
      <c r="L26" s="112">
        <f>'Entrar Dades'!L72</f>
        <v>10</v>
      </c>
      <c r="M26" s="111">
        <f>'Entrar Dades'!M72</f>
        <v>14</v>
      </c>
      <c r="N26" s="109">
        <f>'Entrar Dades'!N72</f>
        <v>20</v>
      </c>
    </row>
    <row r="27" spans="2:14" ht="13.8" x14ac:dyDescent="0.25">
      <c r="B27" s="109"/>
      <c r="C27" s="110">
        <f>'Entrar Dades'!C73</f>
        <v>12</v>
      </c>
      <c r="D27" s="111">
        <f>'Entrar Dades'!D73</f>
        <v>21</v>
      </c>
      <c r="E27" s="110">
        <f>'Entrar Dades'!G73</f>
        <v>19</v>
      </c>
      <c r="F27" s="112">
        <f>'Entrar Dades'!J73</f>
        <v>14</v>
      </c>
      <c r="G27" s="112">
        <f>'Entrar Dades'!H73</f>
        <v>13</v>
      </c>
      <c r="H27" s="111">
        <f>'Entrar Dades'!E73</f>
        <v>7</v>
      </c>
      <c r="I27" s="110">
        <f>'Entrar Dades'!F73</f>
        <v>2</v>
      </c>
      <c r="J27" s="111">
        <f>'Entrar Dades'!I73</f>
        <v>18</v>
      </c>
      <c r="K27" s="112">
        <f>'Entrar Dades'!K73</f>
        <v>7</v>
      </c>
      <c r="L27" s="112">
        <f>'Entrar Dades'!L73</f>
        <v>4</v>
      </c>
      <c r="M27" s="111">
        <f>'Entrar Dades'!M73</f>
        <v>1</v>
      </c>
      <c r="N27" s="109">
        <f>'Entrar Dades'!N73</f>
        <v>12</v>
      </c>
    </row>
    <row r="28" spans="2:14" ht="13.8" x14ac:dyDescent="0.25">
      <c r="B28" s="105" t="str">
        <f>'Entrar Dades'!A74&amp;" "&amp;'Entrar Dades'!B74</f>
        <v xml:space="preserve">9 </v>
      </c>
      <c r="C28" s="106">
        <f>'Entrar Dades'!C74</f>
        <v>8</v>
      </c>
      <c r="D28" s="107">
        <f>'Entrar Dades'!D74</f>
        <v>16</v>
      </c>
      <c r="E28" s="106">
        <f>'Entrar Dades'!G74</f>
        <v>1</v>
      </c>
      <c r="F28" s="108">
        <f>'Entrar Dades'!J74</f>
        <v>8</v>
      </c>
      <c r="G28" s="108">
        <f>'Entrar Dades'!H74</f>
        <v>9</v>
      </c>
      <c r="H28" s="107">
        <f>'Entrar Dades'!E74</f>
        <v>6</v>
      </c>
      <c r="I28" s="106">
        <f>'Entrar Dades'!F74</f>
        <v>1</v>
      </c>
      <c r="J28" s="107">
        <f>'Entrar Dades'!I74</f>
        <v>11</v>
      </c>
      <c r="K28" s="108">
        <f>'Entrar Dades'!K74</f>
        <v>8</v>
      </c>
      <c r="L28" s="108">
        <f>'Entrar Dades'!L74</f>
        <v>15</v>
      </c>
      <c r="M28" s="107">
        <f>'Entrar Dades'!M74</f>
        <v>14</v>
      </c>
      <c r="N28" s="105">
        <f>'Entrar Dades'!N74</f>
        <v>8</v>
      </c>
    </row>
    <row r="29" spans="2:14" ht="13.8" x14ac:dyDescent="0.25">
      <c r="B29" s="105"/>
      <c r="C29" s="106">
        <f>'Entrar Dades'!C75</f>
        <v>5</v>
      </c>
      <c r="D29" s="107">
        <f>'Entrar Dades'!D75</f>
        <v>15</v>
      </c>
      <c r="E29" s="106">
        <f>'Entrar Dades'!G75</f>
        <v>16</v>
      </c>
      <c r="F29" s="108">
        <f>'Entrar Dades'!J75</f>
        <v>18</v>
      </c>
      <c r="G29" s="108">
        <f>'Entrar Dades'!H75</f>
        <v>5</v>
      </c>
      <c r="H29" s="107">
        <f>'Entrar Dades'!E75</f>
        <v>16</v>
      </c>
      <c r="I29" s="106">
        <f>'Entrar Dades'!F75</f>
        <v>16</v>
      </c>
      <c r="J29" s="107">
        <f>'Entrar Dades'!I75</f>
        <v>5</v>
      </c>
      <c r="K29" s="108">
        <f>'Entrar Dades'!K75</f>
        <v>14</v>
      </c>
      <c r="L29" s="108">
        <f>'Entrar Dades'!L75</f>
        <v>7</v>
      </c>
      <c r="M29" s="107">
        <f>'Entrar Dades'!M75</f>
        <v>6</v>
      </c>
      <c r="N29" s="105">
        <f>'Entrar Dades'!N75</f>
        <v>12</v>
      </c>
    </row>
    <row r="30" spans="2:14" ht="13.8" x14ac:dyDescent="0.25">
      <c r="B30" s="105"/>
      <c r="C30" s="106">
        <f>'Entrar Dades'!C76</f>
        <v>13</v>
      </c>
      <c r="D30" s="107">
        <f>'Entrar Dades'!D76</f>
        <v>6</v>
      </c>
      <c r="E30" s="106">
        <f>'Entrar Dades'!G76</f>
        <v>6</v>
      </c>
      <c r="F30" s="108">
        <f>'Entrar Dades'!J76</f>
        <v>14</v>
      </c>
      <c r="G30" s="108">
        <f>'Entrar Dades'!H76</f>
        <v>16</v>
      </c>
      <c r="H30" s="107">
        <f>'Entrar Dades'!E76</f>
        <v>21</v>
      </c>
      <c r="I30" s="106">
        <f>'Entrar Dades'!F76</f>
        <v>15</v>
      </c>
      <c r="J30" s="107">
        <f>'Entrar Dades'!I76</f>
        <v>18</v>
      </c>
      <c r="K30" s="108">
        <f>'Entrar Dades'!K76</f>
        <v>1</v>
      </c>
      <c r="L30" s="108">
        <f>'Entrar Dades'!L76</f>
        <v>1</v>
      </c>
      <c r="M30" s="107">
        <f>'Entrar Dades'!M76</f>
        <v>1</v>
      </c>
      <c r="N30" s="105">
        <f>'Entrar Dades'!N76</f>
        <v>5</v>
      </c>
    </row>
    <row r="31" spans="2:14" ht="13.8" x14ac:dyDescent="0.25">
      <c r="B31" s="109" t="str">
        <f>'Entrar Dades'!A77&amp;" "&amp;'Entrar Dades'!B77</f>
        <v xml:space="preserve">10 </v>
      </c>
      <c r="C31" s="110">
        <f>'Entrar Dades'!C77</f>
        <v>11</v>
      </c>
      <c r="D31" s="111">
        <f>'Entrar Dades'!D77</f>
        <v>19</v>
      </c>
      <c r="E31" s="110">
        <f>'Entrar Dades'!G77</f>
        <v>1</v>
      </c>
      <c r="F31" s="112">
        <f>'Entrar Dades'!J77</f>
        <v>6</v>
      </c>
      <c r="G31" s="112">
        <f>'Entrar Dades'!H77</f>
        <v>1</v>
      </c>
      <c r="H31" s="111">
        <f>'Entrar Dades'!E77</f>
        <v>16</v>
      </c>
      <c r="I31" s="110">
        <f>'Entrar Dades'!F77</f>
        <v>19</v>
      </c>
      <c r="J31" s="111">
        <f>'Entrar Dades'!I77</f>
        <v>5</v>
      </c>
      <c r="K31" s="112">
        <f>'Entrar Dades'!K77</f>
        <v>6</v>
      </c>
      <c r="L31" s="112">
        <f>'Entrar Dades'!L77</f>
        <v>19</v>
      </c>
      <c r="M31" s="111">
        <f>'Entrar Dades'!M77</f>
        <v>6</v>
      </c>
      <c r="N31" s="109">
        <f>'Entrar Dades'!N77</f>
        <v>11</v>
      </c>
    </row>
    <row r="32" spans="2:14" ht="13.8" x14ac:dyDescent="0.25">
      <c r="B32" s="109"/>
      <c r="C32" s="110">
        <f>'Entrar Dades'!C78</f>
        <v>12</v>
      </c>
      <c r="D32" s="111">
        <f>'Entrar Dades'!D78</f>
        <v>16</v>
      </c>
      <c r="E32" s="110">
        <f>'Entrar Dades'!G78</f>
        <v>19</v>
      </c>
      <c r="F32" s="112">
        <f>'Entrar Dades'!J78</f>
        <v>11</v>
      </c>
      <c r="G32" s="112">
        <f>'Entrar Dades'!H78</f>
        <v>3</v>
      </c>
      <c r="H32" s="111">
        <f>'Entrar Dades'!E78</f>
        <v>19</v>
      </c>
      <c r="I32" s="110">
        <f>'Entrar Dades'!F78</f>
        <v>16</v>
      </c>
      <c r="J32" s="111">
        <f>'Entrar Dades'!I78</f>
        <v>20</v>
      </c>
      <c r="K32" s="112">
        <f>'Entrar Dades'!K78</f>
        <v>17</v>
      </c>
      <c r="L32" s="112">
        <f>'Entrar Dades'!L78</f>
        <v>7</v>
      </c>
      <c r="M32" s="111">
        <f>'Entrar Dades'!M78</f>
        <v>7</v>
      </c>
      <c r="N32" s="109">
        <f>'Entrar Dades'!N78</f>
        <v>21</v>
      </c>
    </row>
    <row r="33" spans="2:14" ht="13.8" x14ac:dyDescent="0.25">
      <c r="B33" s="109"/>
      <c r="C33" s="110">
        <f>'Entrar Dades'!C79</f>
        <v>14</v>
      </c>
      <c r="D33" s="111">
        <f>'Entrar Dades'!D79</f>
        <v>1</v>
      </c>
      <c r="E33" s="110">
        <f>'Entrar Dades'!G79</f>
        <v>6</v>
      </c>
      <c r="F33" s="112">
        <f>'Entrar Dades'!J79</f>
        <v>14</v>
      </c>
      <c r="G33" s="112">
        <f>'Entrar Dades'!H79</f>
        <v>8</v>
      </c>
      <c r="H33" s="111">
        <f>'Entrar Dades'!E79</f>
        <v>16</v>
      </c>
      <c r="I33" s="110">
        <f>'Entrar Dades'!F79</f>
        <v>9</v>
      </c>
      <c r="J33" s="111">
        <f>'Entrar Dades'!I79</f>
        <v>2</v>
      </c>
      <c r="K33" s="112">
        <f>'Entrar Dades'!K79</f>
        <v>19</v>
      </c>
      <c r="L33" s="112">
        <f>'Entrar Dades'!L79</f>
        <v>1</v>
      </c>
      <c r="M33" s="111">
        <f>'Entrar Dades'!M79</f>
        <v>4</v>
      </c>
      <c r="N33" s="109">
        <f>'Entrar Dades'!N79</f>
        <v>17</v>
      </c>
    </row>
    <row r="34" spans="2:14" ht="13.8" x14ac:dyDescent="0.25">
      <c r="B34" s="105" t="str">
        <f>'Entrar Dades'!A80&amp;" "&amp;'Entrar Dades'!B80</f>
        <v xml:space="preserve">11 </v>
      </c>
      <c r="C34" s="106">
        <f>'Entrar Dades'!C80</f>
        <v>16</v>
      </c>
      <c r="D34" s="107">
        <f>'Entrar Dades'!D80</f>
        <v>14</v>
      </c>
      <c r="E34" s="106">
        <f>'Entrar Dades'!G80</f>
        <v>9</v>
      </c>
      <c r="F34" s="108">
        <f>'Entrar Dades'!J80</f>
        <v>2</v>
      </c>
      <c r="G34" s="108">
        <f>'Entrar Dades'!H80</f>
        <v>21</v>
      </c>
      <c r="H34" s="107">
        <f>'Entrar Dades'!E80</f>
        <v>6</v>
      </c>
      <c r="I34" s="106">
        <f>'Entrar Dades'!F80</f>
        <v>1</v>
      </c>
      <c r="J34" s="107">
        <f>'Entrar Dades'!I80</f>
        <v>2</v>
      </c>
      <c r="K34" s="108">
        <f>'Entrar Dades'!K80</f>
        <v>6</v>
      </c>
      <c r="L34" s="108">
        <f>'Entrar Dades'!L80</f>
        <v>6</v>
      </c>
      <c r="M34" s="107">
        <f>'Entrar Dades'!M80</f>
        <v>6</v>
      </c>
      <c r="N34" s="105">
        <f>'Entrar Dades'!N80</f>
        <v>16</v>
      </c>
    </row>
    <row r="35" spans="2:14" ht="13.8" x14ac:dyDescent="0.25">
      <c r="B35" s="105"/>
      <c r="C35" s="106">
        <f>'Entrar Dades'!C81</f>
        <v>17</v>
      </c>
      <c r="D35" s="107">
        <f>'Entrar Dades'!D81</f>
        <v>6</v>
      </c>
      <c r="E35" s="106">
        <f>'Entrar Dades'!G81</f>
        <v>6</v>
      </c>
      <c r="F35" s="108">
        <f>'Entrar Dades'!J81</f>
        <v>4</v>
      </c>
      <c r="G35" s="108">
        <f>'Entrar Dades'!H81</f>
        <v>3</v>
      </c>
      <c r="H35" s="107">
        <f>'Entrar Dades'!E81</f>
        <v>15</v>
      </c>
      <c r="I35" s="106">
        <f>'Entrar Dades'!F81</f>
        <v>2</v>
      </c>
      <c r="J35" s="107">
        <f>'Entrar Dades'!I81</f>
        <v>5</v>
      </c>
      <c r="K35" s="108">
        <f>'Entrar Dades'!K81</f>
        <v>4</v>
      </c>
      <c r="L35" s="108">
        <f>'Entrar Dades'!L81</f>
        <v>10</v>
      </c>
      <c r="M35" s="107">
        <f>'Entrar Dades'!M81</f>
        <v>7</v>
      </c>
      <c r="N35" s="105">
        <f>'Entrar Dades'!N81</f>
        <v>17</v>
      </c>
    </row>
    <row r="36" spans="2:14" ht="13.8" x14ac:dyDescent="0.25">
      <c r="B36" s="105"/>
      <c r="C36" s="106">
        <f>'Entrar Dades'!C82</f>
        <v>21</v>
      </c>
      <c r="D36" s="107">
        <f>'Entrar Dades'!D82</f>
        <v>15</v>
      </c>
      <c r="E36" s="106">
        <f>'Entrar Dades'!G82</f>
        <v>16</v>
      </c>
      <c r="F36" s="108">
        <f>'Entrar Dades'!J82</f>
        <v>19</v>
      </c>
      <c r="G36" s="108">
        <f>'Entrar Dades'!H82</f>
        <v>1</v>
      </c>
      <c r="H36" s="107">
        <f>'Entrar Dades'!E82</f>
        <v>7</v>
      </c>
      <c r="I36" s="106">
        <f>'Entrar Dades'!F82</f>
        <v>15</v>
      </c>
      <c r="J36" s="107">
        <f>'Entrar Dades'!I82</f>
        <v>20</v>
      </c>
      <c r="K36" s="108">
        <f>'Entrar Dades'!K82</f>
        <v>19</v>
      </c>
      <c r="L36" s="108">
        <f>'Entrar Dades'!L82</f>
        <v>7</v>
      </c>
      <c r="M36" s="107">
        <f>'Entrar Dades'!M82</f>
        <v>1</v>
      </c>
      <c r="N36" s="105">
        <f>'Entrar Dades'!N82</f>
        <v>19</v>
      </c>
    </row>
    <row r="37" spans="2:14" ht="13.8" x14ac:dyDescent="0.25">
      <c r="B37" s="109" t="str">
        <f>'Entrar Dades'!A83&amp;" "&amp;'Entrar Dades'!B83</f>
        <v xml:space="preserve">12 </v>
      </c>
      <c r="C37" s="110">
        <f>'Entrar Dades'!C83</f>
        <v>5</v>
      </c>
      <c r="D37" s="111">
        <f>'Entrar Dades'!D83</f>
        <v>4</v>
      </c>
      <c r="E37" s="110">
        <f>'Entrar Dades'!G83</f>
        <v>6</v>
      </c>
      <c r="F37" s="112">
        <f>'Entrar Dades'!J83</f>
        <v>13</v>
      </c>
      <c r="G37" s="112">
        <f>'Entrar Dades'!H83</f>
        <v>16</v>
      </c>
      <c r="H37" s="111">
        <f>'Entrar Dades'!E83</f>
        <v>16</v>
      </c>
      <c r="I37" s="110">
        <f>'Entrar Dades'!F83</f>
        <v>7</v>
      </c>
      <c r="J37" s="111">
        <f>'Entrar Dades'!I83</f>
        <v>20</v>
      </c>
      <c r="K37" s="112">
        <f>'Entrar Dades'!K83</f>
        <v>6</v>
      </c>
      <c r="L37" s="112">
        <f>'Entrar Dades'!L83</f>
        <v>6</v>
      </c>
      <c r="M37" s="111">
        <f>'Entrar Dades'!M83</f>
        <v>6</v>
      </c>
      <c r="N37" s="109">
        <f>'Entrar Dades'!N83</f>
        <v>5</v>
      </c>
    </row>
    <row r="38" spans="2:14" ht="13.8" x14ac:dyDescent="0.25">
      <c r="B38" s="109"/>
      <c r="C38" s="110">
        <f>'Entrar Dades'!C84</f>
        <v>9</v>
      </c>
      <c r="D38" s="111">
        <f>'Entrar Dades'!D84</f>
        <v>7</v>
      </c>
      <c r="E38" s="110">
        <f>'Entrar Dades'!G84</f>
        <v>7</v>
      </c>
      <c r="F38" s="112">
        <f>'Entrar Dades'!J84</f>
        <v>5</v>
      </c>
      <c r="G38" s="112">
        <f>'Entrar Dades'!H84</f>
        <v>4</v>
      </c>
      <c r="H38" s="111">
        <f>'Entrar Dades'!E84</f>
        <v>6</v>
      </c>
      <c r="I38" s="110">
        <f>'Entrar Dades'!F84</f>
        <v>15</v>
      </c>
      <c r="J38" s="111">
        <f>'Entrar Dades'!I84</f>
        <v>5</v>
      </c>
      <c r="K38" s="112">
        <f>'Entrar Dades'!K84</f>
        <v>4</v>
      </c>
      <c r="L38" s="112">
        <f>'Entrar Dades'!L84</f>
        <v>4</v>
      </c>
      <c r="M38" s="111">
        <f>'Entrar Dades'!M84</f>
        <v>1</v>
      </c>
      <c r="N38" s="109">
        <f>'Entrar Dades'!N84</f>
        <v>9</v>
      </c>
    </row>
    <row r="39" spans="2:14" ht="13.8" x14ac:dyDescent="0.25">
      <c r="B39" s="109"/>
      <c r="C39" s="110">
        <f>'Entrar Dades'!C85</f>
        <v>8</v>
      </c>
      <c r="D39" s="111">
        <f>'Entrar Dades'!D85</f>
        <v>16</v>
      </c>
      <c r="E39" s="110">
        <f>'Entrar Dades'!G85</f>
        <v>16</v>
      </c>
      <c r="F39" s="112">
        <f>'Entrar Dades'!J85</f>
        <v>8</v>
      </c>
      <c r="G39" s="112">
        <f>'Entrar Dades'!H85</f>
        <v>7</v>
      </c>
      <c r="H39" s="111">
        <f>'Entrar Dades'!E85</f>
        <v>4</v>
      </c>
      <c r="I39" s="110">
        <f>'Entrar Dades'!F85</f>
        <v>16</v>
      </c>
      <c r="J39" s="111">
        <f>'Entrar Dades'!I85</f>
        <v>11</v>
      </c>
      <c r="K39" s="112">
        <f>'Entrar Dades'!K85</f>
        <v>7</v>
      </c>
      <c r="L39" s="112">
        <f>'Entrar Dades'!L85</f>
        <v>7</v>
      </c>
      <c r="M39" s="111">
        <f>'Entrar Dades'!M85</f>
        <v>7</v>
      </c>
      <c r="N39" s="109">
        <f>'Entrar Dades'!N85</f>
        <v>8</v>
      </c>
    </row>
    <row r="40" spans="2:14" ht="13.8" x14ac:dyDescent="0.25">
      <c r="B40" s="105" t="str">
        <f>'Entrar Dades'!A86&amp;" "&amp;'Entrar Dades'!B86</f>
        <v xml:space="preserve">13 </v>
      </c>
      <c r="C40" s="106">
        <f>'Entrar Dades'!C86</f>
        <v>3</v>
      </c>
      <c r="D40" s="107">
        <f>'Entrar Dades'!D86</f>
        <v>16</v>
      </c>
      <c r="E40" s="106">
        <f>'Entrar Dades'!G86</f>
        <v>9</v>
      </c>
      <c r="F40" s="108">
        <f>'Entrar Dades'!J86</f>
        <v>3</v>
      </c>
      <c r="G40" s="108">
        <f>'Entrar Dades'!H86</f>
        <v>9</v>
      </c>
      <c r="H40" s="107">
        <f>'Entrar Dades'!E86</f>
        <v>6</v>
      </c>
      <c r="I40" s="106">
        <f>'Entrar Dades'!F86</f>
        <v>3</v>
      </c>
      <c r="J40" s="107">
        <f>'Entrar Dades'!I86</f>
        <v>18</v>
      </c>
      <c r="K40" s="108">
        <f>'Entrar Dades'!K86</f>
        <v>6</v>
      </c>
      <c r="L40" s="108">
        <f>'Entrar Dades'!L86</f>
        <v>3</v>
      </c>
      <c r="M40" s="107">
        <f>'Entrar Dades'!M86</f>
        <v>1</v>
      </c>
      <c r="N40" s="105">
        <f>'Entrar Dades'!N86</f>
        <v>3</v>
      </c>
    </row>
    <row r="41" spans="2:14" ht="13.8" x14ac:dyDescent="0.25">
      <c r="B41" s="105"/>
      <c r="C41" s="106">
        <f>'Entrar Dades'!C87</f>
        <v>18</v>
      </c>
      <c r="D41" s="107">
        <f>'Entrar Dades'!D87</f>
        <v>7</v>
      </c>
      <c r="E41" s="106">
        <f>'Entrar Dades'!G87</f>
        <v>18</v>
      </c>
      <c r="F41" s="108">
        <f>'Entrar Dades'!J87</f>
        <v>18</v>
      </c>
      <c r="G41" s="108">
        <f>'Entrar Dades'!H87</f>
        <v>18</v>
      </c>
      <c r="H41" s="107">
        <f>'Entrar Dades'!E87</f>
        <v>16</v>
      </c>
      <c r="I41" s="106">
        <f>'Entrar Dades'!F87</f>
        <v>1</v>
      </c>
      <c r="J41" s="107">
        <f>'Entrar Dades'!I87</f>
        <v>20</v>
      </c>
      <c r="K41" s="108">
        <f>'Entrar Dades'!K87</f>
        <v>7</v>
      </c>
      <c r="L41" s="108">
        <f>'Entrar Dades'!L87</f>
        <v>1</v>
      </c>
      <c r="M41" s="107">
        <f>'Entrar Dades'!M87</f>
        <v>7</v>
      </c>
      <c r="N41" s="105">
        <f>'Entrar Dades'!N87</f>
        <v>18</v>
      </c>
    </row>
    <row r="42" spans="2:14" ht="13.8" x14ac:dyDescent="0.25">
      <c r="B42" s="105"/>
      <c r="C42" s="106">
        <f>'Entrar Dades'!C88</f>
        <v>9</v>
      </c>
      <c r="D42" s="107">
        <f>'Entrar Dades'!D88</f>
        <v>6</v>
      </c>
      <c r="E42" s="106">
        <f>'Entrar Dades'!G88</f>
        <v>16</v>
      </c>
      <c r="F42" s="108">
        <f>'Entrar Dades'!J88</f>
        <v>9</v>
      </c>
      <c r="G42" s="108">
        <f>'Entrar Dades'!H88</f>
        <v>3</v>
      </c>
      <c r="H42" s="107">
        <f>'Entrar Dades'!E88</f>
        <v>4</v>
      </c>
      <c r="I42" s="106">
        <f>'Entrar Dades'!F88</f>
        <v>18</v>
      </c>
      <c r="J42" s="107">
        <f>'Entrar Dades'!I88</f>
        <v>9</v>
      </c>
      <c r="K42" s="108">
        <f>'Entrar Dades'!K88</f>
        <v>18</v>
      </c>
      <c r="L42" s="108">
        <f>'Entrar Dades'!L88</f>
        <v>15</v>
      </c>
      <c r="M42" s="107">
        <f>'Entrar Dades'!M88</f>
        <v>21</v>
      </c>
      <c r="N42" s="105">
        <f>'Entrar Dades'!N88</f>
        <v>9</v>
      </c>
    </row>
    <row r="43" spans="2:14" ht="13.8" x14ac:dyDescent="0.25">
      <c r="B43" s="109" t="str">
        <f>'Entrar Dades'!A89&amp;" "&amp;'Entrar Dades'!B89</f>
        <v xml:space="preserve">14 </v>
      </c>
      <c r="C43" s="110">
        <f>'Entrar Dades'!C89</f>
        <v>20</v>
      </c>
      <c r="D43" s="111">
        <f>'Entrar Dades'!D89</f>
        <v>7</v>
      </c>
      <c r="E43" s="110">
        <f>'Entrar Dades'!G89</f>
        <v>1</v>
      </c>
      <c r="F43" s="112">
        <f>'Entrar Dades'!J89</f>
        <v>20</v>
      </c>
      <c r="G43" s="112">
        <f>'Entrar Dades'!H89</f>
        <v>1</v>
      </c>
      <c r="H43" s="111">
        <f>'Entrar Dades'!E89</f>
        <v>16</v>
      </c>
      <c r="I43" s="110">
        <f>'Entrar Dades'!F89</f>
        <v>18</v>
      </c>
      <c r="J43" s="111">
        <f>'Entrar Dades'!I89</f>
        <v>20</v>
      </c>
      <c r="K43" s="112">
        <f>'Entrar Dades'!K89</f>
        <v>6</v>
      </c>
      <c r="L43" s="112">
        <f>'Entrar Dades'!L89</f>
        <v>4</v>
      </c>
      <c r="M43" s="111">
        <f>'Entrar Dades'!M89</f>
        <v>6</v>
      </c>
      <c r="N43" s="109">
        <f>'Entrar Dades'!N89</f>
        <v>20</v>
      </c>
    </row>
    <row r="44" spans="2:14" ht="13.8" x14ac:dyDescent="0.25">
      <c r="B44" s="109"/>
      <c r="C44" s="110">
        <f>'Entrar Dades'!C90</f>
        <v>5</v>
      </c>
      <c r="D44" s="111">
        <f>'Entrar Dades'!D90</f>
        <v>1</v>
      </c>
      <c r="E44" s="110">
        <f>'Entrar Dades'!G90</f>
        <v>6</v>
      </c>
      <c r="F44" s="112">
        <f>'Entrar Dades'!J90</f>
        <v>14</v>
      </c>
      <c r="G44" s="112">
        <f>'Entrar Dades'!H90</f>
        <v>3</v>
      </c>
      <c r="H44" s="111">
        <f>'Entrar Dades'!E90</f>
        <v>10</v>
      </c>
      <c r="I44" s="110">
        <f>'Entrar Dades'!F90</f>
        <v>9</v>
      </c>
      <c r="J44" s="111">
        <f>'Entrar Dades'!I90</f>
        <v>12</v>
      </c>
      <c r="K44" s="112">
        <f>'Entrar Dades'!K90</f>
        <v>11</v>
      </c>
      <c r="L44" s="112">
        <f>'Entrar Dades'!L90</f>
        <v>6</v>
      </c>
      <c r="M44" s="111">
        <f>'Entrar Dades'!M90</f>
        <v>16</v>
      </c>
      <c r="N44" s="109">
        <f>'Entrar Dades'!N90</f>
        <v>12</v>
      </c>
    </row>
    <row r="45" spans="2:14" ht="13.8" x14ac:dyDescent="0.25">
      <c r="B45" s="109"/>
      <c r="C45" s="110">
        <f>'Entrar Dades'!C91</f>
        <v>12</v>
      </c>
      <c r="D45" s="111">
        <f>'Entrar Dades'!D91</f>
        <v>16</v>
      </c>
      <c r="E45" s="110">
        <f>'Entrar Dades'!G91</f>
        <v>18</v>
      </c>
      <c r="F45" s="112">
        <f>'Entrar Dades'!J91</f>
        <v>12</v>
      </c>
      <c r="G45" s="112">
        <f>'Entrar Dades'!H91</f>
        <v>18</v>
      </c>
      <c r="H45" s="111">
        <f>'Entrar Dades'!E91</f>
        <v>4</v>
      </c>
      <c r="I45" s="110">
        <f>'Entrar Dades'!F91</f>
        <v>3</v>
      </c>
      <c r="J45" s="111">
        <f>'Entrar Dades'!I91</f>
        <v>13</v>
      </c>
      <c r="K45" s="112">
        <f>'Entrar Dades'!K91</f>
        <v>10</v>
      </c>
      <c r="L45" s="112">
        <f>'Entrar Dades'!L91</f>
        <v>7</v>
      </c>
      <c r="M45" s="111">
        <f>'Entrar Dades'!M91</f>
        <v>7</v>
      </c>
      <c r="N45" s="109">
        <f>'Entrar Dades'!N91</f>
        <v>5</v>
      </c>
    </row>
    <row r="46" spans="2:14" ht="13.8" x14ac:dyDescent="0.25">
      <c r="B46" s="105" t="str">
        <f>'Entrar Dades'!A92&amp;" "&amp;'Entrar Dades'!B92</f>
        <v xml:space="preserve">15 </v>
      </c>
      <c r="C46" s="106">
        <f>'Entrar Dades'!C92</f>
        <v>19</v>
      </c>
      <c r="D46" s="107">
        <f>'Entrar Dades'!D92</f>
        <v>14</v>
      </c>
      <c r="E46" s="106">
        <f>'Entrar Dades'!G92</f>
        <v>11</v>
      </c>
      <c r="F46" s="108">
        <f>'Entrar Dades'!J92</f>
        <v>9</v>
      </c>
      <c r="G46" s="108">
        <f>'Entrar Dades'!H92</f>
        <v>1</v>
      </c>
      <c r="H46" s="107">
        <f>'Entrar Dades'!E92</f>
        <v>16</v>
      </c>
      <c r="I46" s="106">
        <f>'Entrar Dades'!F92</f>
        <v>1</v>
      </c>
      <c r="J46" s="107">
        <f>'Entrar Dades'!I92</f>
        <v>20</v>
      </c>
      <c r="K46" s="108">
        <f>'Entrar Dades'!K92</f>
        <v>6</v>
      </c>
      <c r="L46" s="108">
        <f>'Entrar Dades'!L92</f>
        <v>6</v>
      </c>
      <c r="M46" s="107">
        <f>'Entrar Dades'!M92</f>
        <v>6</v>
      </c>
      <c r="N46" s="105">
        <f>'Entrar Dades'!N92</f>
        <v>19</v>
      </c>
    </row>
    <row r="47" spans="2:14" ht="13.8" x14ac:dyDescent="0.25">
      <c r="B47" s="105"/>
      <c r="C47" s="106">
        <f>'Entrar Dades'!C93</f>
        <v>17</v>
      </c>
      <c r="D47" s="107">
        <f>'Entrar Dades'!D93</f>
        <v>9</v>
      </c>
      <c r="E47" s="106">
        <f>'Entrar Dades'!G93</f>
        <v>10</v>
      </c>
      <c r="F47" s="108">
        <f>'Entrar Dades'!J93</f>
        <v>20</v>
      </c>
      <c r="G47" s="108">
        <f>'Entrar Dades'!H93</f>
        <v>8</v>
      </c>
      <c r="H47" s="107">
        <f>'Entrar Dades'!E93</f>
        <v>13</v>
      </c>
      <c r="I47" s="106">
        <f>'Entrar Dades'!F93</f>
        <v>9</v>
      </c>
      <c r="J47" s="107">
        <f>'Entrar Dades'!I93</f>
        <v>5</v>
      </c>
      <c r="K47" s="108">
        <f>'Entrar Dades'!K93</f>
        <v>10</v>
      </c>
      <c r="L47" s="108">
        <f>'Entrar Dades'!L93</f>
        <v>21</v>
      </c>
      <c r="M47" s="107">
        <f>'Entrar Dades'!M93</f>
        <v>7</v>
      </c>
      <c r="N47" s="105">
        <f>'Entrar Dades'!N93</f>
        <v>21</v>
      </c>
    </row>
    <row r="48" spans="2:14" ht="13.8" x14ac:dyDescent="0.25">
      <c r="B48" s="105"/>
      <c r="C48" s="106">
        <f>'Entrar Dades'!C94</f>
        <v>5</v>
      </c>
      <c r="D48" s="107">
        <f>'Entrar Dades'!D94</f>
        <v>3</v>
      </c>
      <c r="E48" s="106">
        <f>'Entrar Dades'!G94</f>
        <v>4</v>
      </c>
      <c r="F48" s="108">
        <f>'Entrar Dades'!J94</f>
        <v>2</v>
      </c>
      <c r="G48" s="108">
        <f>'Entrar Dades'!H94</f>
        <v>18</v>
      </c>
      <c r="H48" s="107">
        <f>'Entrar Dades'!E94</f>
        <v>6</v>
      </c>
      <c r="I48" s="106">
        <f>'Entrar Dades'!F94</f>
        <v>18</v>
      </c>
      <c r="J48" s="107">
        <f>'Entrar Dades'!I94</f>
        <v>21</v>
      </c>
      <c r="K48" s="108">
        <f>'Entrar Dades'!K94</f>
        <v>21</v>
      </c>
      <c r="L48" s="108">
        <f>'Entrar Dades'!L94</f>
        <v>7</v>
      </c>
      <c r="M48" s="107">
        <f>'Entrar Dades'!M94</f>
        <v>14</v>
      </c>
      <c r="N48" s="105">
        <f>'Entrar Dades'!N94</f>
        <v>17</v>
      </c>
    </row>
    <row r="49" spans="2:14" ht="13.8" x14ac:dyDescent="0.25">
      <c r="B49" s="109" t="str">
        <f>'Entrar Dades'!A95&amp;" "&amp;'Entrar Dades'!B95</f>
        <v xml:space="preserve">16 </v>
      </c>
      <c r="C49" s="110">
        <f>'Entrar Dades'!C95</f>
        <v>11</v>
      </c>
      <c r="D49" s="111">
        <f>'Entrar Dades'!D95</f>
        <v>14</v>
      </c>
      <c r="E49" s="110">
        <f>'Entrar Dades'!G95</f>
        <v>1</v>
      </c>
      <c r="F49" s="112">
        <f>'Entrar Dades'!J95</f>
        <v>5</v>
      </c>
      <c r="G49" s="112">
        <f>'Entrar Dades'!H95</f>
        <v>8</v>
      </c>
      <c r="H49" s="111">
        <f>'Entrar Dades'!E95</f>
        <v>6</v>
      </c>
      <c r="I49" s="110">
        <f>'Entrar Dades'!F95</f>
        <v>1</v>
      </c>
      <c r="J49" s="111">
        <f>'Entrar Dades'!I95</f>
        <v>20</v>
      </c>
      <c r="K49" s="112">
        <f>'Entrar Dades'!K95</f>
        <v>6</v>
      </c>
      <c r="L49" s="112">
        <f>'Entrar Dades'!L95</f>
        <v>6</v>
      </c>
      <c r="M49" s="111">
        <f>'Entrar Dades'!M95</f>
        <v>6</v>
      </c>
      <c r="N49" s="109">
        <f>'Entrar Dades'!N95</f>
        <v>11</v>
      </c>
    </row>
    <row r="50" spans="2:14" ht="13.8" x14ac:dyDescent="0.25">
      <c r="B50" s="109"/>
      <c r="C50" s="110">
        <f>'Entrar Dades'!C96</f>
        <v>21</v>
      </c>
      <c r="D50" s="111">
        <f>'Entrar Dades'!D96</f>
        <v>4</v>
      </c>
      <c r="E50" s="110">
        <f>'Entrar Dades'!G96</f>
        <v>8</v>
      </c>
      <c r="F50" s="112">
        <f>'Entrar Dades'!J96</f>
        <v>20</v>
      </c>
      <c r="G50" s="112">
        <f>'Entrar Dades'!H96</f>
        <v>9</v>
      </c>
      <c r="H50" s="111">
        <f>'Entrar Dades'!E96</f>
        <v>10</v>
      </c>
      <c r="I50" s="110">
        <f>'Entrar Dades'!F96</f>
        <v>9</v>
      </c>
      <c r="J50" s="111">
        <f>'Entrar Dades'!I96</f>
        <v>18</v>
      </c>
      <c r="K50" s="112">
        <f>'Entrar Dades'!K96</f>
        <v>7</v>
      </c>
      <c r="L50" s="112">
        <f>'Entrar Dades'!L96</f>
        <v>7</v>
      </c>
      <c r="M50" s="111">
        <f>'Entrar Dades'!M96</f>
        <v>14</v>
      </c>
      <c r="N50" s="109">
        <f>'Entrar Dades'!N96</f>
        <v>21</v>
      </c>
    </row>
    <row r="51" spans="2:14" ht="13.8" x14ac:dyDescent="0.25">
      <c r="B51" s="109"/>
      <c r="C51" s="110">
        <f>'Entrar Dades'!C97</f>
        <v>17</v>
      </c>
      <c r="D51" s="111">
        <f>'Entrar Dades'!D97</f>
        <v>9</v>
      </c>
      <c r="E51" s="110">
        <f>'Entrar Dades'!G97</f>
        <v>9</v>
      </c>
      <c r="F51" s="112">
        <f>'Entrar Dades'!J97</f>
        <v>2</v>
      </c>
      <c r="G51" s="112">
        <f>'Entrar Dades'!H97</f>
        <v>1</v>
      </c>
      <c r="H51" s="111">
        <f>'Entrar Dades'!E97</f>
        <v>4</v>
      </c>
      <c r="I51" s="110">
        <f>'Entrar Dades'!F97</f>
        <v>8</v>
      </c>
      <c r="J51" s="111">
        <f>'Entrar Dades'!I97</f>
        <v>5</v>
      </c>
      <c r="K51" s="112">
        <f>'Entrar Dades'!K97</f>
        <v>21</v>
      </c>
      <c r="L51" s="112">
        <f>'Entrar Dades'!L97</f>
        <v>4</v>
      </c>
      <c r="M51" s="111">
        <f>'Entrar Dades'!M97</f>
        <v>7</v>
      </c>
      <c r="N51" s="109">
        <f>'Entrar Dades'!N97</f>
        <v>17</v>
      </c>
    </row>
    <row r="52" spans="2:14" ht="13.8" x14ac:dyDescent="0.25">
      <c r="B52" s="105" t="str">
        <f>'Entrar Dades'!A98&amp;" "&amp;'Entrar Dades'!B98</f>
        <v xml:space="preserve">17 </v>
      </c>
      <c r="C52" s="106">
        <f>'Entrar Dades'!C98</f>
        <v>10</v>
      </c>
      <c r="D52" s="107">
        <f>'Entrar Dades'!D98</f>
        <v>9</v>
      </c>
      <c r="E52" s="106">
        <f>'Entrar Dades'!G98</f>
        <v>16</v>
      </c>
      <c r="F52" s="108">
        <f>'Entrar Dades'!J98</f>
        <v>4</v>
      </c>
      <c r="G52" s="108">
        <f>'Entrar Dades'!H98</f>
        <v>9</v>
      </c>
      <c r="H52" s="107">
        <f>'Entrar Dades'!E98</f>
        <v>2</v>
      </c>
      <c r="I52" s="106">
        <f>'Entrar Dades'!F98</f>
        <v>6</v>
      </c>
      <c r="J52" s="107">
        <f>'Entrar Dades'!I98</f>
        <v>5</v>
      </c>
      <c r="K52" s="108">
        <f>'Entrar Dades'!K98</f>
        <v>10</v>
      </c>
      <c r="L52" s="108">
        <f>'Entrar Dades'!L98</f>
        <v>6</v>
      </c>
      <c r="M52" s="107">
        <f>'Entrar Dades'!M98</f>
        <v>6</v>
      </c>
      <c r="N52" s="105">
        <f>'Entrar Dades'!N98</f>
        <v>10</v>
      </c>
    </row>
    <row r="53" spans="2:14" ht="13.8" x14ac:dyDescent="0.25">
      <c r="B53" s="105"/>
      <c r="C53" s="106">
        <f>'Entrar Dades'!C99</f>
        <v>11</v>
      </c>
      <c r="D53" s="107">
        <f>'Entrar Dades'!D99</f>
        <v>6</v>
      </c>
      <c r="E53" s="106">
        <f>'Entrar Dades'!G99</f>
        <v>21</v>
      </c>
      <c r="F53" s="108">
        <f>'Entrar Dades'!J99</f>
        <v>11</v>
      </c>
      <c r="G53" s="108">
        <f>'Entrar Dades'!H99</f>
        <v>16</v>
      </c>
      <c r="H53" s="107">
        <f>'Entrar Dades'!E99</f>
        <v>6</v>
      </c>
      <c r="I53" s="106">
        <f>'Entrar Dades'!F99</f>
        <v>9</v>
      </c>
      <c r="J53" s="107">
        <f>'Entrar Dades'!I99</f>
        <v>8</v>
      </c>
      <c r="K53" s="108">
        <f>'Entrar Dades'!K99</f>
        <v>6</v>
      </c>
      <c r="L53" s="108">
        <f>'Entrar Dades'!L99</f>
        <v>10</v>
      </c>
      <c r="M53" s="107">
        <f>'Entrar Dades'!M99</f>
        <v>14</v>
      </c>
      <c r="N53" s="105">
        <f>'Entrar Dades'!N99</f>
        <v>11</v>
      </c>
    </row>
    <row r="54" spans="2:14" ht="13.8" x14ac:dyDescent="0.25">
      <c r="B54" s="105"/>
      <c r="C54" s="106">
        <f>'Entrar Dades'!C100</f>
        <v>19</v>
      </c>
      <c r="D54" s="107">
        <f>'Entrar Dades'!D100</f>
        <v>7</v>
      </c>
      <c r="E54" s="106">
        <f>'Entrar Dades'!G100</f>
        <v>6</v>
      </c>
      <c r="F54" s="108">
        <f>'Entrar Dades'!J100</f>
        <v>3</v>
      </c>
      <c r="G54" s="108">
        <f>'Entrar Dades'!H100</f>
        <v>19</v>
      </c>
      <c r="H54" s="107">
        <f>'Entrar Dades'!E100</f>
        <v>16</v>
      </c>
      <c r="I54" s="106">
        <f>'Entrar Dades'!F100</f>
        <v>1</v>
      </c>
      <c r="J54" s="107">
        <f>'Entrar Dades'!I100</f>
        <v>18</v>
      </c>
      <c r="K54" s="108">
        <f>'Entrar Dades'!K100</f>
        <v>19</v>
      </c>
      <c r="L54" s="108">
        <f>'Entrar Dades'!L100</f>
        <v>7</v>
      </c>
      <c r="M54" s="107">
        <f>'Entrar Dades'!M100</f>
        <v>7</v>
      </c>
      <c r="N54" s="105">
        <f>'Entrar Dades'!N100</f>
        <v>21</v>
      </c>
    </row>
    <row r="55" spans="2:14" ht="13.8" x14ac:dyDescent="0.25">
      <c r="B55" s="109" t="str">
        <f>'Entrar Dades'!A101&amp;" "&amp;'Entrar Dades'!B101</f>
        <v xml:space="preserve">18 </v>
      </c>
      <c r="C55" s="110">
        <f>'Entrar Dades'!C101</f>
        <v>3</v>
      </c>
      <c r="D55" s="111">
        <f>'Entrar Dades'!D101</f>
        <v>15</v>
      </c>
      <c r="E55" s="110">
        <f>'Entrar Dades'!G101</f>
        <v>3</v>
      </c>
      <c r="F55" s="112">
        <f>'Entrar Dades'!J101</f>
        <v>9</v>
      </c>
      <c r="G55" s="112">
        <f>'Entrar Dades'!H101</f>
        <v>1</v>
      </c>
      <c r="H55" s="111">
        <f>'Entrar Dades'!E101</f>
        <v>16</v>
      </c>
      <c r="I55" s="110">
        <f>'Entrar Dades'!F101</f>
        <v>6</v>
      </c>
      <c r="J55" s="111">
        <f>'Entrar Dades'!I101</f>
        <v>14</v>
      </c>
      <c r="K55" s="112">
        <f>'Entrar Dades'!K101</f>
        <v>6</v>
      </c>
      <c r="L55" s="112">
        <f>'Entrar Dades'!L101</f>
        <v>3</v>
      </c>
      <c r="M55" s="111">
        <f>'Entrar Dades'!M101</f>
        <v>14</v>
      </c>
      <c r="N55" s="109">
        <f>'Entrar Dades'!N101</f>
        <v>3</v>
      </c>
    </row>
    <row r="56" spans="2:14" ht="13.8" x14ac:dyDescent="0.25">
      <c r="B56" s="109"/>
      <c r="C56" s="110">
        <f>'Entrar Dades'!C102</f>
        <v>8</v>
      </c>
      <c r="D56" s="111">
        <f>'Entrar Dades'!D102</f>
        <v>16</v>
      </c>
      <c r="E56" s="110">
        <f>'Entrar Dades'!G102</f>
        <v>16</v>
      </c>
      <c r="F56" s="112">
        <f>'Entrar Dades'!J102</f>
        <v>13</v>
      </c>
      <c r="G56" s="112">
        <f>'Entrar Dades'!H102</f>
        <v>3</v>
      </c>
      <c r="H56" s="111">
        <f>'Entrar Dades'!E102</f>
        <v>15</v>
      </c>
      <c r="I56" s="110">
        <f>'Entrar Dades'!F102</f>
        <v>16</v>
      </c>
      <c r="J56" s="111">
        <f>'Entrar Dades'!I102</f>
        <v>5</v>
      </c>
      <c r="K56" s="112">
        <f>'Entrar Dades'!K102</f>
        <v>4</v>
      </c>
      <c r="L56" s="112">
        <f>'Entrar Dades'!L102</f>
        <v>6</v>
      </c>
      <c r="M56" s="111">
        <f>'Entrar Dades'!M102</f>
        <v>6</v>
      </c>
      <c r="N56" s="109">
        <f>'Entrar Dades'!N102</f>
        <v>8</v>
      </c>
    </row>
    <row r="57" spans="2:14" ht="13.8" x14ac:dyDescent="0.25">
      <c r="B57" s="109"/>
      <c r="C57" s="110">
        <f>'Entrar Dades'!C103</f>
        <v>5</v>
      </c>
      <c r="D57" s="111">
        <f>'Entrar Dades'!D103</f>
        <v>4</v>
      </c>
      <c r="E57" s="110">
        <f>'Entrar Dades'!G103</f>
        <v>1</v>
      </c>
      <c r="F57" s="112">
        <f>'Entrar Dades'!J103</f>
        <v>14</v>
      </c>
      <c r="G57" s="112">
        <f>'Entrar Dades'!H103</f>
        <v>6</v>
      </c>
      <c r="H57" s="111">
        <f>'Entrar Dades'!E103</f>
        <v>10</v>
      </c>
      <c r="I57" s="110">
        <f>'Entrar Dades'!F103</f>
        <v>15</v>
      </c>
      <c r="J57" s="111">
        <f>'Entrar Dades'!I103</f>
        <v>2</v>
      </c>
      <c r="K57" s="112">
        <f>'Entrar Dades'!K103</f>
        <v>10</v>
      </c>
      <c r="L57" s="112">
        <f>'Entrar Dades'!L103</f>
        <v>15</v>
      </c>
      <c r="M57" s="111">
        <f>'Entrar Dades'!M103</f>
        <v>15</v>
      </c>
      <c r="N57" s="109">
        <f>'Entrar Dades'!N103</f>
        <v>13</v>
      </c>
    </row>
    <row r="58" spans="2:14" ht="13.8" x14ac:dyDescent="0.25">
      <c r="B58" s="105" t="str">
        <f>'Entrar Dades'!A104&amp;" "&amp;'Entrar Dades'!B104</f>
        <v xml:space="preserve">19 </v>
      </c>
      <c r="C58" s="106">
        <f>'Entrar Dades'!C104</f>
        <v>11</v>
      </c>
      <c r="D58" s="107">
        <f>'Entrar Dades'!D104</f>
        <v>6</v>
      </c>
      <c r="E58" s="106">
        <f>'Entrar Dades'!G104</f>
        <v>1</v>
      </c>
      <c r="F58" s="108">
        <f>'Entrar Dades'!J104</f>
        <v>2</v>
      </c>
      <c r="G58" s="108">
        <f>'Entrar Dades'!H104</f>
        <v>16</v>
      </c>
      <c r="H58" s="107">
        <f>'Entrar Dades'!E104</f>
        <v>10</v>
      </c>
      <c r="I58" s="106">
        <f>'Entrar Dades'!F104</f>
        <v>6</v>
      </c>
      <c r="J58" s="107">
        <f>'Entrar Dades'!I104</f>
        <v>20</v>
      </c>
      <c r="K58" s="108">
        <f>'Entrar Dades'!K104</f>
        <v>6</v>
      </c>
      <c r="L58" s="108">
        <f>'Entrar Dades'!L104</f>
        <v>6</v>
      </c>
      <c r="M58" s="107">
        <f>'Entrar Dades'!M104</f>
        <v>7</v>
      </c>
      <c r="N58" s="105">
        <f>'Entrar Dades'!N104</f>
        <v>11</v>
      </c>
    </row>
    <row r="59" spans="2:14" ht="13.8" x14ac:dyDescent="0.25">
      <c r="B59" s="105"/>
      <c r="C59" s="106">
        <f>'Entrar Dades'!C105</f>
        <v>17</v>
      </c>
      <c r="D59" s="107">
        <f>'Entrar Dades'!D105</f>
        <v>7</v>
      </c>
      <c r="E59" s="106">
        <f>'Entrar Dades'!G105</f>
        <v>16</v>
      </c>
      <c r="F59" s="108">
        <f>'Entrar Dades'!J105</f>
        <v>11</v>
      </c>
      <c r="G59" s="108">
        <f>'Entrar Dades'!H105</f>
        <v>3</v>
      </c>
      <c r="H59" s="107">
        <f>'Entrar Dades'!E105</f>
        <v>16</v>
      </c>
      <c r="I59" s="106">
        <f>'Entrar Dades'!F105</f>
        <v>10</v>
      </c>
      <c r="J59" s="107">
        <f>'Entrar Dades'!I105</f>
        <v>5</v>
      </c>
      <c r="K59" s="108">
        <f>'Entrar Dades'!K105</f>
        <v>10</v>
      </c>
      <c r="L59" s="108">
        <f>'Entrar Dades'!L105</f>
        <v>10</v>
      </c>
      <c r="M59" s="107">
        <f>'Entrar Dades'!M105</f>
        <v>6</v>
      </c>
      <c r="N59" s="105">
        <f>'Entrar Dades'!N105</f>
        <v>17</v>
      </c>
    </row>
    <row r="60" spans="2:14" ht="13.8" x14ac:dyDescent="0.25">
      <c r="B60" s="105"/>
      <c r="C60" s="106">
        <f>'Entrar Dades'!C106</f>
        <v>10</v>
      </c>
      <c r="D60" s="107">
        <f>'Entrar Dades'!D106</f>
        <v>14</v>
      </c>
      <c r="E60" s="106">
        <f>'Entrar Dades'!G106</f>
        <v>3</v>
      </c>
      <c r="F60" s="108">
        <f>'Entrar Dades'!J106</f>
        <v>4</v>
      </c>
      <c r="G60" s="108">
        <f>'Entrar Dades'!H106</f>
        <v>1</v>
      </c>
      <c r="H60" s="107">
        <f>'Entrar Dades'!E106</f>
        <v>6</v>
      </c>
      <c r="I60" s="106">
        <f>'Entrar Dades'!F106</f>
        <v>16</v>
      </c>
      <c r="J60" s="107">
        <f>'Entrar Dades'!I106</f>
        <v>14</v>
      </c>
      <c r="K60" s="108">
        <f>'Entrar Dades'!K106</f>
        <v>4</v>
      </c>
      <c r="L60" s="108">
        <f>'Entrar Dades'!L106</f>
        <v>7</v>
      </c>
      <c r="M60" s="107">
        <f>'Entrar Dades'!M106</f>
        <v>14</v>
      </c>
      <c r="N60" s="105">
        <f>'Entrar Dades'!N106</f>
        <v>10</v>
      </c>
    </row>
    <row r="61" spans="2:14" ht="13.8" x14ac:dyDescent="0.25">
      <c r="B61" s="109" t="str">
        <f>'Entrar Dades'!A107&amp;" "&amp;'Entrar Dades'!B107</f>
        <v xml:space="preserve">20 </v>
      </c>
      <c r="C61" s="110">
        <f>'Entrar Dades'!C107</f>
        <v>3</v>
      </c>
      <c r="D61" s="111">
        <f>'Entrar Dades'!D107</f>
        <v>7</v>
      </c>
      <c r="E61" s="110">
        <f>'Entrar Dades'!G107</f>
        <v>9</v>
      </c>
      <c r="F61" s="112">
        <f>'Entrar Dades'!J107</f>
        <v>5</v>
      </c>
      <c r="G61" s="112">
        <f>'Entrar Dades'!H107</f>
        <v>1</v>
      </c>
      <c r="H61" s="111">
        <f>'Entrar Dades'!E107</f>
        <v>6</v>
      </c>
      <c r="I61" s="110">
        <f>'Entrar Dades'!F107</f>
        <v>9</v>
      </c>
      <c r="J61" s="111">
        <f>'Entrar Dades'!I107</f>
        <v>11</v>
      </c>
      <c r="K61" s="112">
        <f>'Entrar Dades'!K107</f>
        <v>4</v>
      </c>
      <c r="L61" s="112">
        <f>'Entrar Dades'!L107</f>
        <v>4</v>
      </c>
      <c r="M61" s="111">
        <f>'Entrar Dades'!M107</f>
        <v>1</v>
      </c>
      <c r="N61" s="109">
        <f>'Entrar Dades'!N107</f>
        <v>5</v>
      </c>
    </row>
    <row r="62" spans="2:14" ht="13.8" x14ac:dyDescent="0.25">
      <c r="B62" s="109"/>
      <c r="C62" s="110">
        <f>'Entrar Dades'!C108</f>
        <v>18</v>
      </c>
      <c r="D62" s="111">
        <f>'Entrar Dades'!D108</f>
        <v>10</v>
      </c>
      <c r="E62" s="110">
        <f>'Entrar Dades'!G108</f>
        <v>15</v>
      </c>
      <c r="F62" s="112">
        <f>'Entrar Dades'!J108</f>
        <v>13</v>
      </c>
      <c r="G62" s="112">
        <f>'Entrar Dades'!H108</f>
        <v>16</v>
      </c>
      <c r="H62" s="111">
        <f>'Entrar Dades'!E108</f>
        <v>10</v>
      </c>
      <c r="I62" s="110">
        <f>'Entrar Dades'!F108</f>
        <v>16</v>
      </c>
      <c r="J62" s="111">
        <f>'Entrar Dades'!I108</f>
        <v>8</v>
      </c>
      <c r="K62" s="112">
        <f>'Entrar Dades'!K108</f>
        <v>1</v>
      </c>
      <c r="L62" s="112">
        <f>'Entrar Dades'!L108</f>
        <v>1</v>
      </c>
      <c r="M62" s="111">
        <f>'Entrar Dades'!M108</f>
        <v>7</v>
      </c>
      <c r="N62" s="109">
        <f>'Entrar Dades'!N108</f>
        <v>8</v>
      </c>
    </row>
    <row r="63" spans="2:14" ht="13.8" x14ac:dyDescent="0.25">
      <c r="B63" s="109"/>
      <c r="C63" s="110">
        <f>'Entrar Dades'!C109</f>
        <v>13</v>
      </c>
      <c r="D63" s="111">
        <f>'Entrar Dades'!D109</f>
        <v>16</v>
      </c>
      <c r="E63" s="110">
        <f>'Entrar Dades'!G109</f>
        <v>16</v>
      </c>
      <c r="F63" s="112">
        <f>'Entrar Dades'!J109</f>
        <v>8</v>
      </c>
      <c r="G63" s="112">
        <f>'Entrar Dades'!H109</f>
        <v>3</v>
      </c>
      <c r="H63" s="111">
        <f>'Entrar Dades'!E109</f>
        <v>16</v>
      </c>
      <c r="I63" s="110">
        <f>'Entrar Dades'!F109</f>
        <v>6</v>
      </c>
      <c r="J63" s="111">
        <f>'Entrar Dades'!I109</f>
        <v>13</v>
      </c>
      <c r="K63" s="112">
        <f>'Entrar Dades'!K109</f>
        <v>7</v>
      </c>
      <c r="L63" s="112">
        <f>'Entrar Dades'!L109</f>
        <v>7</v>
      </c>
      <c r="M63" s="111">
        <f>'Entrar Dades'!M109</f>
        <v>6</v>
      </c>
      <c r="N63" s="109">
        <f>'Entrar Dades'!N109</f>
        <v>18</v>
      </c>
    </row>
    <row r="64" spans="2:14" ht="13.8" x14ac:dyDescent="0.25">
      <c r="B64" s="105" t="str">
        <f>'Entrar Dades'!A110&amp;" "&amp;'Entrar Dades'!B110</f>
        <v xml:space="preserve">21 </v>
      </c>
      <c r="C64" s="106">
        <f>'Entrar Dades'!C110</f>
        <v>15</v>
      </c>
      <c r="D64" s="107">
        <f>'Entrar Dades'!D110</f>
        <v>1</v>
      </c>
      <c r="E64" s="106">
        <f>'Entrar Dades'!G110</f>
        <v>6</v>
      </c>
      <c r="F64" s="108">
        <f>'Entrar Dades'!J110</f>
        <v>5</v>
      </c>
      <c r="G64" s="108">
        <f>'Entrar Dades'!H110</f>
        <v>3</v>
      </c>
      <c r="H64" s="107">
        <f>'Entrar Dades'!E110</f>
        <v>16</v>
      </c>
      <c r="I64" s="106">
        <f>'Entrar Dades'!F110</f>
        <v>6</v>
      </c>
      <c r="J64" s="107">
        <f>'Entrar Dades'!I110</f>
        <v>20</v>
      </c>
      <c r="K64" s="108">
        <f>'Entrar Dades'!K110</f>
        <v>10</v>
      </c>
      <c r="L64" s="108">
        <f>'Entrar Dades'!L110</f>
        <v>1</v>
      </c>
      <c r="M64" s="107">
        <f>'Entrar Dades'!M110</f>
        <v>6</v>
      </c>
      <c r="N64" s="105">
        <f>'Entrar Dades'!N110</f>
        <v>11</v>
      </c>
    </row>
    <row r="65" spans="2:14" ht="13.8" x14ac:dyDescent="0.25">
      <c r="B65" s="105"/>
      <c r="C65" s="106">
        <f>'Entrar Dades'!C111</f>
        <v>19</v>
      </c>
      <c r="D65" s="107">
        <f>'Entrar Dades'!D111</f>
        <v>6</v>
      </c>
      <c r="E65" s="106">
        <f>'Entrar Dades'!G111</f>
        <v>16</v>
      </c>
      <c r="F65" s="108">
        <f>'Entrar Dades'!J111</f>
        <v>11</v>
      </c>
      <c r="G65" s="108">
        <f>'Entrar Dades'!H111</f>
        <v>10</v>
      </c>
      <c r="H65" s="107">
        <f>'Entrar Dades'!E111</f>
        <v>11</v>
      </c>
      <c r="I65" s="106">
        <f>'Entrar Dades'!F111</f>
        <v>10</v>
      </c>
      <c r="J65" s="107">
        <f>'Entrar Dades'!I111</f>
        <v>11</v>
      </c>
      <c r="K65" s="108">
        <f>'Entrar Dades'!K111</f>
        <v>7</v>
      </c>
      <c r="L65" s="108">
        <f>'Entrar Dades'!L111</f>
        <v>4</v>
      </c>
      <c r="M65" s="107">
        <f>'Entrar Dades'!M111</f>
        <v>1</v>
      </c>
      <c r="N65" s="105">
        <f>'Entrar Dades'!N111</f>
        <v>17</v>
      </c>
    </row>
    <row r="66" spans="2:14" ht="13.8" x14ac:dyDescent="0.25">
      <c r="B66" s="105"/>
      <c r="C66" s="106">
        <f>'Entrar Dades'!C112</f>
        <v>7</v>
      </c>
      <c r="D66" s="107">
        <f>'Entrar Dades'!D112</f>
        <v>8</v>
      </c>
      <c r="E66" s="106">
        <f>'Entrar Dades'!G112</f>
        <v>4</v>
      </c>
      <c r="F66" s="108">
        <f>'Entrar Dades'!J112</f>
        <v>20</v>
      </c>
      <c r="G66" s="108">
        <f>'Entrar Dades'!H112</f>
        <v>6</v>
      </c>
      <c r="H66" s="107">
        <f>'Entrar Dades'!E112</f>
        <v>15</v>
      </c>
      <c r="I66" s="106">
        <f>'Entrar Dades'!F112</f>
        <v>16</v>
      </c>
      <c r="J66" s="107">
        <f>'Entrar Dades'!I112</f>
        <v>19</v>
      </c>
      <c r="K66" s="108">
        <f>'Entrar Dades'!K112</f>
        <v>6</v>
      </c>
      <c r="L66" s="108">
        <f>'Entrar Dades'!L112</f>
        <v>6</v>
      </c>
      <c r="M66" s="107">
        <f>'Entrar Dades'!M112</f>
        <v>20</v>
      </c>
      <c r="N66" s="105">
        <f>'Entrar Dades'!N112</f>
        <v>10</v>
      </c>
    </row>
    <row r="67" spans="2:14" ht="13.8" x14ac:dyDescent="0.25">
      <c r="B67" s="109" t="str">
        <f>'Entrar Dades'!A113&amp;" "&amp;'Entrar Dades'!B113</f>
        <v xml:space="preserve">22 </v>
      </c>
      <c r="C67" s="110">
        <f>'Entrar Dades'!C113</f>
        <v>0</v>
      </c>
      <c r="D67" s="111">
        <f>'Entrar Dades'!D113</f>
        <v>0</v>
      </c>
      <c r="E67" s="110">
        <f>'Entrar Dades'!G113</f>
        <v>0</v>
      </c>
      <c r="F67" s="112">
        <f>'Entrar Dades'!J113</f>
        <v>0</v>
      </c>
      <c r="G67" s="112">
        <f>'Entrar Dades'!H113</f>
        <v>0</v>
      </c>
      <c r="H67" s="111">
        <f>'Entrar Dades'!E113</f>
        <v>0</v>
      </c>
      <c r="I67" s="110">
        <f>'Entrar Dades'!F113</f>
        <v>0</v>
      </c>
      <c r="J67" s="111">
        <f>'Entrar Dades'!I113</f>
        <v>0</v>
      </c>
      <c r="K67" s="112">
        <f>'Entrar Dades'!K113</f>
        <v>0</v>
      </c>
      <c r="L67" s="112">
        <f>'Entrar Dades'!L113</f>
        <v>0</v>
      </c>
      <c r="M67" s="111">
        <f>'Entrar Dades'!M113</f>
        <v>0</v>
      </c>
      <c r="N67" s="109">
        <f>'Entrar Dades'!N113</f>
        <v>0</v>
      </c>
    </row>
    <row r="68" spans="2:14" ht="13.8" x14ac:dyDescent="0.25">
      <c r="B68" s="109"/>
      <c r="C68" s="110">
        <f>'Entrar Dades'!C114</f>
        <v>0</v>
      </c>
      <c r="D68" s="111">
        <f>'Entrar Dades'!D114</f>
        <v>0</v>
      </c>
      <c r="E68" s="110">
        <f>'Entrar Dades'!G114</f>
        <v>0</v>
      </c>
      <c r="F68" s="112">
        <f>'Entrar Dades'!J114</f>
        <v>0</v>
      </c>
      <c r="G68" s="112">
        <f>'Entrar Dades'!H114</f>
        <v>0</v>
      </c>
      <c r="H68" s="111">
        <f>'Entrar Dades'!E114</f>
        <v>0</v>
      </c>
      <c r="I68" s="110">
        <f>'Entrar Dades'!F114</f>
        <v>0</v>
      </c>
      <c r="J68" s="111">
        <f>'Entrar Dades'!I114</f>
        <v>0</v>
      </c>
      <c r="K68" s="112">
        <f>'Entrar Dades'!K114</f>
        <v>0</v>
      </c>
      <c r="L68" s="112">
        <f>'Entrar Dades'!L114</f>
        <v>0</v>
      </c>
      <c r="M68" s="111">
        <f>'Entrar Dades'!M114</f>
        <v>0</v>
      </c>
      <c r="N68" s="109">
        <f>'Entrar Dades'!N114</f>
        <v>0</v>
      </c>
    </row>
    <row r="69" spans="2:14" ht="13.8" x14ac:dyDescent="0.25">
      <c r="B69" s="109"/>
      <c r="C69" s="110">
        <f>'Entrar Dades'!C115</f>
        <v>0</v>
      </c>
      <c r="D69" s="111">
        <f>'Entrar Dades'!D115</f>
        <v>0</v>
      </c>
      <c r="E69" s="110">
        <f>'Entrar Dades'!G115</f>
        <v>0</v>
      </c>
      <c r="F69" s="112">
        <f>'Entrar Dades'!J115</f>
        <v>0</v>
      </c>
      <c r="G69" s="112">
        <f>'Entrar Dades'!H115</f>
        <v>0</v>
      </c>
      <c r="H69" s="111">
        <f>'Entrar Dades'!E115</f>
        <v>0</v>
      </c>
      <c r="I69" s="110">
        <f>'Entrar Dades'!F115</f>
        <v>0</v>
      </c>
      <c r="J69" s="111">
        <f>'Entrar Dades'!I115</f>
        <v>0</v>
      </c>
      <c r="K69" s="112">
        <f>'Entrar Dades'!K115</f>
        <v>0</v>
      </c>
      <c r="L69" s="112">
        <f>'Entrar Dades'!L115</f>
        <v>0</v>
      </c>
      <c r="M69" s="111">
        <f>'Entrar Dades'!M115</f>
        <v>0</v>
      </c>
      <c r="N69" s="109">
        <f>'Entrar Dades'!N115</f>
        <v>0</v>
      </c>
    </row>
    <row r="70" spans="2:14" ht="13.8" x14ac:dyDescent="0.25">
      <c r="B70" s="105" t="str">
        <f>'Entrar Dades'!A116&amp;" "&amp;'Entrar Dades'!B116</f>
        <v xml:space="preserve">23 </v>
      </c>
      <c r="C70" s="106">
        <f>'Entrar Dades'!C116</f>
        <v>0</v>
      </c>
      <c r="D70" s="107">
        <f>'Entrar Dades'!D116</f>
        <v>0</v>
      </c>
      <c r="E70" s="106">
        <f>'Entrar Dades'!G116</f>
        <v>0</v>
      </c>
      <c r="F70" s="108">
        <f>'Entrar Dades'!J116</f>
        <v>0</v>
      </c>
      <c r="G70" s="108">
        <f>'Entrar Dades'!H116</f>
        <v>0</v>
      </c>
      <c r="H70" s="107">
        <f>'Entrar Dades'!E116</f>
        <v>0</v>
      </c>
      <c r="I70" s="106">
        <f>'Entrar Dades'!F116</f>
        <v>0</v>
      </c>
      <c r="J70" s="107">
        <f>'Entrar Dades'!I116</f>
        <v>0</v>
      </c>
      <c r="K70" s="108">
        <f>'Entrar Dades'!K116</f>
        <v>0</v>
      </c>
      <c r="L70" s="108">
        <f>'Entrar Dades'!L116</f>
        <v>0</v>
      </c>
      <c r="M70" s="107">
        <f>'Entrar Dades'!M116</f>
        <v>0</v>
      </c>
      <c r="N70" s="105">
        <f>'Entrar Dades'!N116</f>
        <v>0</v>
      </c>
    </row>
    <row r="71" spans="2:14" ht="13.8" x14ac:dyDescent="0.25">
      <c r="B71" s="105"/>
      <c r="C71" s="106">
        <f>'Entrar Dades'!C117</f>
        <v>0</v>
      </c>
      <c r="D71" s="107">
        <f>'Entrar Dades'!D117</f>
        <v>0</v>
      </c>
      <c r="E71" s="106">
        <f>'Entrar Dades'!G117</f>
        <v>0</v>
      </c>
      <c r="F71" s="108">
        <f>'Entrar Dades'!J117</f>
        <v>0</v>
      </c>
      <c r="G71" s="108">
        <f>'Entrar Dades'!H117</f>
        <v>0</v>
      </c>
      <c r="H71" s="107">
        <f>'Entrar Dades'!E117</f>
        <v>0</v>
      </c>
      <c r="I71" s="106">
        <f>'Entrar Dades'!F117</f>
        <v>0</v>
      </c>
      <c r="J71" s="107">
        <f>'Entrar Dades'!I117</f>
        <v>0</v>
      </c>
      <c r="K71" s="108">
        <f>'Entrar Dades'!K117</f>
        <v>0</v>
      </c>
      <c r="L71" s="108">
        <f>'Entrar Dades'!L117</f>
        <v>0</v>
      </c>
      <c r="M71" s="107">
        <f>'Entrar Dades'!M117</f>
        <v>0</v>
      </c>
      <c r="N71" s="105">
        <f>'Entrar Dades'!N117</f>
        <v>0</v>
      </c>
    </row>
    <row r="72" spans="2:14" ht="13.8" x14ac:dyDescent="0.25">
      <c r="B72" s="105"/>
      <c r="C72" s="106">
        <f>'Entrar Dades'!C118</f>
        <v>0</v>
      </c>
      <c r="D72" s="107">
        <f>'Entrar Dades'!D118</f>
        <v>0</v>
      </c>
      <c r="E72" s="106">
        <f>'Entrar Dades'!G118</f>
        <v>0</v>
      </c>
      <c r="F72" s="108">
        <f>'Entrar Dades'!J118</f>
        <v>0</v>
      </c>
      <c r="G72" s="108">
        <f>'Entrar Dades'!H118</f>
        <v>0</v>
      </c>
      <c r="H72" s="107">
        <f>'Entrar Dades'!E118</f>
        <v>0</v>
      </c>
      <c r="I72" s="106">
        <f>'Entrar Dades'!F118</f>
        <v>0</v>
      </c>
      <c r="J72" s="107">
        <f>'Entrar Dades'!I118</f>
        <v>0</v>
      </c>
      <c r="K72" s="108">
        <f>'Entrar Dades'!K118</f>
        <v>0</v>
      </c>
      <c r="L72" s="108">
        <f>'Entrar Dades'!L118</f>
        <v>0</v>
      </c>
      <c r="M72" s="107">
        <f>'Entrar Dades'!M118</f>
        <v>0</v>
      </c>
      <c r="N72" s="105">
        <f>'Entrar Dades'!N118</f>
        <v>0</v>
      </c>
    </row>
    <row r="73" spans="2:14" ht="13.8" x14ac:dyDescent="0.25">
      <c r="B73" s="109" t="str">
        <f>'Entrar Dades'!A119&amp;" "&amp;'Entrar Dades'!B119</f>
        <v xml:space="preserve">24 </v>
      </c>
      <c r="C73" s="110">
        <f>'Entrar Dades'!C119</f>
        <v>0</v>
      </c>
      <c r="D73" s="111">
        <f>'Entrar Dades'!D119</f>
        <v>0</v>
      </c>
      <c r="E73" s="110">
        <f>'Entrar Dades'!G119</f>
        <v>0</v>
      </c>
      <c r="F73" s="112">
        <f>'Entrar Dades'!J119</f>
        <v>0</v>
      </c>
      <c r="G73" s="112">
        <f>'Entrar Dades'!H119</f>
        <v>0</v>
      </c>
      <c r="H73" s="111">
        <f>'Entrar Dades'!E119</f>
        <v>0</v>
      </c>
      <c r="I73" s="110">
        <f>'Entrar Dades'!F119</f>
        <v>0</v>
      </c>
      <c r="J73" s="111">
        <f>'Entrar Dades'!I119</f>
        <v>0</v>
      </c>
      <c r="K73" s="112">
        <f>'Entrar Dades'!K119</f>
        <v>0</v>
      </c>
      <c r="L73" s="112">
        <f>'Entrar Dades'!L119</f>
        <v>0</v>
      </c>
      <c r="M73" s="111">
        <f>'Entrar Dades'!M119</f>
        <v>0</v>
      </c>
      <c r="N73" s="109">
        <f>'Entrar Dades'!N119</f>
        <v>0</v>
      </c>
    </row>
    <row r="74" spans="2:14" ht="13.8" x14ac:dyDescent="0.25">
      <c r="B74" s="109"/>
      <c r="C74" s="110">
        <f>'Entrar Dades'!C120</f>
        <v>0</v>
      </c>
      <c r="D74" s="111">
        <f>'Entrar Dades'!D120</f>
        <v>0</v>
      </c>
      <c r="E74" s="110">
        <f>'Entrar Dades'!G120</f>
        <v>0</v>
      </c>
      <c r="F74" s="112">
        <f>'Entrar Dades'!J120</f>
        <v>0</v>
      </c>
      <c r="G74" s="112">
        <f>'Entrar Dades'!H120</f>
        <v>0</v>
      </c>
      <c r="H74" s="111">
        <f>'Entrar Dades'!E120</f>
        <v>0</v>
      </c>
      <c r="I74" s="110">
        <f>'Entrar Dades'!F120</f>
        <v>0</v>
      </c>
      <c r="J74" s="111">
        <f>'Entrar Dades'!I120</f>
        <v>0</v>
      </c>
      <c r="K74" s="112">
        <f>'Entrar Dades'!K120</f>
        <v>0</v>
      </c>
      <c r="L74" s="112">
        <f>'Entrar Dades'!L120</f>
        <v>0</v>
      </c>
      <c r="M74" s="111">
        <f>'Entrar Dades'!M120</f>
        <v>0</v>
      </c>
      <c r="N74" s="109">
        <f>'Entrar Dades'!N120</f>
        <v>0</v>
      </c>
    </row>
    <row r="75" spans="2:14" ht="13.8" x14ac:dyDescent="0.25">
      <c r="B75" s="109"/>
      <c r="C75" s="110">
        <f>'Entrar Dades'!C121</f>
        <v>0</v>
      </c>
      <c r="D75" s="111">
        <f>'Entrar Dades'!D121</f>
        <v>0</v>
      </c>
      <c r="E75" s="110">
        <f>'Entrar Dades'!G121</f>
        <v>0</v>
      </c>
      <c r="F75" s="112">
        <f>'Entrar Dades'!J121</f>
        <v>0</v>
      </c>
      <c r="G75" s="112">
        <f>'Entrar Dades'!H121</f>
        <v>0</v>
      </c>
      <c r="H75" s="111">
        <f>'Entrar Dades'!E121</f>
        <v>0</v>
      </c>
      <c r="I75" s="110">
        <f>'Entrar Dades'!F121</f>
        <v>0</v>
      </c>
      <c r="J75" s="111">
        <f>'Entrar Dades'!I121</f>
        <v>0</v>
      </c>
      <c r="K75" s="112">
        <f>'Entrar Dades'!K121</f>
        <v>0</v>
      </c>
      <c r="L75" s="112">
        <f>'Entrar Dades'!L121</f>
        <v>0</v>
      </c>
      <c r="M75" s="111">
        <f>'Entrar Dades'!M121</f>
        <v>0</v>
      </c>
      <c r="N75" s="109">
        <f>'Entrar Dades'!N121</f>
        <v>0</v>
      </c>
    </row>
    <row r="76" spans="2:14" ht="13.8" x14ac:dyDescent="0.25">
      <c r="B76" s="105" t="str">
        <f>'Entrar Dades'!A122&amp;" "&amp;'Entrar Dades'!B122</f>
        <v xml:space="preserve">25 </v>
      </c>
      <c r="C76" s="106">
        <f>'Entrar Dades'!C122</f>
        <v>0</v>
      </c>
      <c r="D76" s="107">
        <f>'Entrar Dades'!D122</f>
        <v>0</v>
      </c>
      <c r="E76" s="106">
        <f>'Entrar Dades'!G122</f>
        <v>0</v>
      </c>
      <c r="F76" s="108">
        <f>'Entrar Dades'!J122</f>
        <v>0</v>
      </c>
      <c r="G76" s="108">
        <f>'Entrar Dades'!H122</f>
        <v>0</v>
      </c>
      <c r="H76" s="107">
        <f>'Entrar Dades'!E122</f>
        <v>0</v>
      </c>
      <c r="I76" s="106">
        <f>'Entrar Dades'!F122</f>
        <v>0</v>
      </c>
      <c r="J76" s="107">
        <f>'Entrar Dades'!I122</f>
        <v>0</v>
      </c>
      <c r="K76" s="108">
        <f>'Entrar Dades'!K122</f>
        <v>0</v>
      </c>
      <c r="L76" s="108">
        <f>'Entrar Dades'!L122</f>
        <v>0</v>
      </c>
      <c r="M76" s="107">
        <f>'Entrar Dades'!M122</f>
        <v>0</v>
      </c>
      <c r="N76" s="105">
        <f>'Entrar Dades'!N122</f>
        <v>0</v>
      </c>
    </row>
    <row r="77" spans="2:14" ht="13.8" x14ac:dyDescent="0.25">
      <c r="B77" s="105"/>
      <c r="C77" s="106">
        <f>'Entrar Dades'!C123</f>
        <v>0</v>
      </c>
      <c r="D77" s="107">
        <f>'Entrar Dades'!D123</f>
        <v>0</v>
      </c>
      <c r="E77" s="106">
        <f>'Entrar Dades'!G123</f>
        <v>0</v>
      </c>
      <c r="F77" s="108">
        <f>'Entrar Dades'!J123</f>
        <v>0</v>
      </c>
      <c r="G77" s="108">
        <f>'Entrar Dades'!H123</f>
        <v>0</v>
      </c>
      <c r="H77" s="107">
        <f>'Entrar Dades'!E123</f>
        <v>0</v>
      </c>
      <c r="I77" s="106">
        <f>'Entrar Dades'!F123</f>
        <v>0</v>
      </c>
      <c r="J77" s="107">
        <f>'Entrar Dades'!I123</f>
        <v>0</v>
      </c>
      <c r="K77" s="108">
        <f>'Entrar Dades'!K123</f>
        <v>0</v>
      </c>
      <c r="L77" s="108">
        <f>'Entrar Dades'!L123</f>
        <v>0</v>
      </c>
      <c r="M77" s="107">
        <f>'Entrar Dades'!M123</f>
        <v>0</v>
      </c>
      <c r="N77" s="105">
        <f>'Entrar Dades'!N123</f>
        <v>0</v>
      </c>
    </row>
    <row r="78" spans="2:14" ht="13.8" x14ac:dyDescent="0.25">
      <c r="B78" s="105"/>
      <c r="C78" s="106">
        <f>'Entrar Dades'!C124</f>
        <v>0</v>
      </c>
      <c r="D78" s="107">
        <f>'Entrar Dades'!D124</f>
        <v>0</v>
      </c>
      <c r="E78" s="106">
        <f>'Entrar Dades'!G124</f>
        <v>0</v>
      </c>
      <c r="F78" s="108">
        <f>'Entrar Dades'!J124</f>
        <v>0</v>
      </c>
      <c r="G78" s="108">
        <f>'Entrar Dades'!H124</f>
        <v>0</v>
      </c>
      <c r="H78" s="107">
        <f>'Entrar Dades'!E124</f>
        <v>0</v>
      </c>
      <c r="I78" s="106">
        <f>'Entrar Dades'!F124</f>
        <v>0</v>
      </c>
      <c r="J78" s="107">
        <f>'Entrar Dades'!I124</f>
        <v>0</v>
      </c>
      <c r="K78" s="108">
        <f>'Entrar Dades'!K124</f>
        <v>0</v>
      </c>
      <c r="L78" s="108">
        <f>'Entrar Dades'!L124</f>
        <v>0</v>
      </c>
      <c r="M78" s="107">
        <f>'Entrar Dades'!M124</f>
        <v>0</v>
      </c>
      <c r="N78" s="105">
        <f>'Entrar Dades'!N124</f>
        <v>0</v>
      </c>
    </row>
    <row r="79" spans="2:14" ht="13.8" x14ac:dyDescent="0.25">
      <c r="B79" s="109" t="str">
        <f>'Entrar Dades'!A125&amp;" "&amp;'Entrar Dades'!B125</f>
        <v xml:space="preserve">26 </v>
      </c>
      <c r="C79" s="110">
        <f>'Entrar Dades'!C125</f>
        <v>0</v>
      </c>
      <c r="D79" s="111">
        <f>'Entrar Dades'!D125</f>
        <v>0</v>
      </c>
      <c r="E79" s="110">
        <f>'Entrar Dades'!G125</f>
        <v>0</v>
      </c>
      <c r="F79" s="112">
        <f>'Entrar Dades'!J125</f>
        <v>0</v>
      </c>
      <c r="G79" s="112">
        <f>'Entrar Dades'!H125</f>
        <v>0</v>
      </c>
      <c r="H79" s="111">
        <f>'Entrar Dades'!E125</f>
        <v>0</v>
      </c>
      <c r="I79" s="110">
        <f>'Entrar Dades'!F125</f>
        <v>0</v>
      </c>
      <c r="J79" s="111">
        <f>'Entrar Dades'!I125</f>
        <v>0</v>
      </c>
      <c r="K79" s="112">
        <f>'Entrar Dades'!K125</f>
        <v>0</v>
      </c>
      <c r="L79" s="112">
        <f>'Entrar Dades'!L125</f>
        <v>0</v>
      </c>
      <c r="M79" s="111">
        <f>'Entrar Dades'!M125</f>
        <v>0</v>
      </c>
      <c r="N79" s="109">
        <f>'Entrar Dades'!N125</f>
        <v>0</v>
      </c>
    </row>
    <row r="80" spans="2:14" ht="13.8" x14ac:dyDescent="0.25">
      <c r="B80" s="109"/>
      <c r="C80" s="110">
        <f>'Entrar Dades'!C126</f>
        <v>0</v>
      </c>
      <c r="D80" s="111">
        <f>'Entrar Dades'!D126</f>
        <v>0</v>
      </c>
      <c r="E80" s="110">
        <f>'Entrar Dades'!G126</f>
        <v>0</v>
      </c>
      <c r="F80" s="112">
        <f>'Entrar Dades'!J126</f>
        <v>0</v>
      </c>
      <c r="G80" s="112">
        <f>'Entrar Dades'!H126</f>
        <v>0</v>
      </c>
      <c r="H80" s="111">
        <f>'Entrar Dades'!E126</f>
        <v>0</v>
      </c>
      <c r="I80" s="110">
        <f>'Entrar Dades'!F126</f>
        <v>0</v>
      </c>
      <c r="J80" s="111">
        <f>'Entrar Dades'!I126</f>
        <v>0</v>
      </c>
      <c r="K80" s="112">
        <f>'Entrar Dades'!K126</f>
        <v>0</v>
      </c>
      <c r="L80" s="112">
        <f>'Entrar Dades'!L126</f>
        <v>0</v>
      </c>
      <c r="M80" s="111">
        <f>'Entrar Dades'!M126</f>
        <v>0</v>
      </c>
      <c r="N80" s="109">
        <f>'Entrar Dades'!N126</f>
        <v>0</v>
      </c>
    </row>
    <row r="81" spans="2:14" ht="13.8" x14ac:dyDescent="0.25">
      <c r="B81" s="109"/>
      <c r="C81" s="110">
        <f>'Entrar Dades'!C127</f>
        <v>0</v>
      </c>
      <c r="D81" s="111">
        <f>'Entrar Dades'!D127</f>
        <v>0</v>
      </c>
      <c r="E81" s="110">
        <f>'Entrar Dades'!G127</f>
        <v>0</v>
      </c>
      <c r="F81" s="112">
        <f>'Entrar Dades'!J127</f>
        <v>0</v>
      </c>
      <c r="G81" s="112">
        <f>'Entrar Dades'!H127</f>
        <v>0</v>
      </c>
      <c r="H81" s="111">
        <f>'Entrar Dades'!E127</f>
        <v>0</v>
      </c>
      <c r="I81" s="110">
        <f>'Entrar Dades'!F127</f>
        <v>0</v>
      </c>
      <c r="J81" s="111">
        <f>'Entrar Dades'!I127</f>
        <v>0</v>
      </c>
      <c r="K81" s="112">
        <f>'Entrar Dades'!K127</f>
        <v>0</v>
      </c>
      <c r="L81" s="112">
        <f>'Entrar Dades'!L127</f>
        <v>0</v>
      </c>
      <c r="M81" s="111">
        <f>'Entrar Dades'!M127</f>
        <v>0</v>
      </c>
      <c r="N81" s="109">
        <f>'Entrar Dades'!N127</f>
        <v>0</v>
      </c>
    </row>
    <row r="82" spans="2:14" ht="13.8" x14ac:dyDescent="0.25">
      <c r="B82" s="105" t="str">
        <f>'Entrar Dades'!A128&amp;" "&amp;'Entrar Dades'!B128</f>
        <v xml:space="preserve">27 </v>
      </c>
      <c r="C82" s="106">
        <f>'Entrar Dades'!C128</f>
        <v>0</v>
      </c>
      <c r="D82" s="107">
        <f>'Entrar Dades'!D128</f>
        <v>0</v>
      </c>
      <c r="E82" s="106">
        <f>'Entrar Dades'!G128</f>
        <v>0</v>
      </c>
      <c r="F82" s="108">
        <f>'Entrar Dades'!J128</f>
        <v>0</v>
      </c>
      <c r="G82" s="108">
        <f>'Entrar Dades'!H128</f>
        <v>0</v>
      </c>
      <c r="H82" s="107">
        <f>'Entrar Dades'!E128</f>
        <v>0</v>
      </c>
      <c r="I82" s="106">
        <f>'Entrar Dades'!F128</f>
        <v>0</v>
      </c>
      <c r="J82" s="107">
        <f>'Entrar Dades'!I128</f>
        <v>0</v>
      </c>
      <c r="K82" s="108">
        <f>'Entrar Dades'!K128</f>
        <v>0</v>
      </c>
      <c r="L82" s="108">
        <f>'Entrar Dades'!L128</f>
        <v>0</v>
      </c>
      <c r="M82" s="107">
        <f>'Entrar Dades'!M128</f>
        <v>0</v>
      </c>
      <c r="N82" s="105">
        <f>'Entrar Dades'!N128</f>
        <v>0</v>
      </c>
    </row>
    <row r="83" spans="2:14" ht="13.8" x14ac:dyDescent="0.25">
      <c r="B83" s="105"/>
      <c r="C83" s="106">
        <f>'Entrar Dades'!C129</f>
        <v>0</v>
      </c>
      <c r="D83" s="107">
        <f>'Entrar Dades'!D129</f>
        <v>0</v>
      </c>
      <c r="E83" s="106">
        <f>'Entrar Dades'!G129</f>
        <v>0</v>
      </c>
      <c r="F83" s="108">
        <f>'Entrar Dades'!J129</f>
        <v>0</v>
      </c>
      <c r="G83" s="108">
        <f>'Entrar Dades'!H129</f>
        <v>0</v>
      </c>
      <c r="H83" s="107">
        <f>'Entrar Dades'!E129</f>
        <v>0</v>
      </c>
      <c r="I83" s="106">
        <f>'Entrar Dades'!F129</f>
        <v>0</v>
      </c>
      <c r="J83" s="107">
        <f>'Entrar Dades'!I129</f>
        <v>0</v>
      </c>
      <c r="K83" s="108">
        <f>'Entrar Dades'!K129</f>
        <v>0</v>
      </c>
      <c r="L83" s="108">
        <f>'Entrar Dades'!L129</f>
        <v>0</v>
      </c>
      <c r="M83" s="107">
        <f>'Entrar Dades'!M129</f>
        <v>0</v>
      </c>
      <c r="N83" s="105">
        <f>'Entrar Dades'!N129</f>
        <v>0</v>
      </c>
    </row>
    <row r="84" spans="2:14" ht="13.8" x14ac:dyDescent="0.25">
      <c r="B84" s="105"/>
      <c r="C84" s="106">
        <f>'Entrar Dades'!C130</f>
        <v>0</v>
      </c>
      <c r="D84" s="107">
        <f>'Entrar Dades'!D130</f>
        <v>0</v>
      </c>
      <c r="E84" s="106">
        <f>'Entrar Dades'!G130</f>
        <v>0</v>
      </c>
      <c r="F84" s="108">
        <f>'Entrar Dades'!J130</f>
        <v>0</v>
      </c>
      <c r="G84" s="108">
        <f>'Entrar Dades'!H130</f>
        <v>0</v>
      </c>
      <c r="H84" s="107">
        <f>'Entrar Dades'!E130</f>
        <v>0</v>
      </c>
      <c r="I84" s="106">
        <f>'Entrar Dades'!F130</f>
        <v>0</v>
      </c>
      <c r="J84" s="107">
        <f>'Entrar Dades'!I130</f>
        <v>0</v>
      </c>
      <c r="K84" s="108">
        <f>'Entrar Dades'!K130</f>
        <v>0</v>
      </c>
      <c r="L84" s="108">
        <f>'Entrar Dades'!L130</f>
        <v>0</v>
      </c>
      <c r="M84" s="107">
        <f>'Entrar Dades'!M130</f>
        <v>0</v>
      </c>
      <c r="N84" s="105">
        <f>'Entrar Dades'!N130</f>
        <v>0</v>
      </c>
    </row>
    <row r="85" spans="2:14" ht="13.8" x14ac:dyDescent="0.25">
      <c r="B85" s="109" t="str">
        <f>'Entrar Dades'!A131&amp;" "&amp;'Entrar Dades'!B131</f>
        <v xml:space="preserve">28 </v>
      </c>
      <c r="C85" s="110">
        <f>'Entrar Dades'!C131</f>
        <v>0</v>
      </c>
      <c r="D85" s="111">
        <f>'Entrar Dades'!D131</f>
        <v>0</v>
      </c>
      <c r="E85" s="110">
        <f>'Entrar Dades'!G131</f>
        <v>0</v>
      </c>
      <c r="F85" s="112">
        <f>'Entrar Dades'!J131</f>
        <v>0</v>
      </c>
      <c r="G85" s="112">
        <f>'Entrar Dades'!H131</f>
        <v>0</v>
      </c>
      <c r="H85" s="111">
        <f>'Entrar Dades'!E131</f>
        <v>0</v>
      </c>
      <c r="I85" s="110">
        <f>'Entrar Dades'!F131</f>
        <v>0</v>
      </c>
      <c r="J85" s="111">
        <f>'Entrar Dades'!I131</f>
        <v>0</v>
      </c>
      <c r="K85" s="112">
        <f>'Entrar Dades'!K131</f>
        <v>0</v>
      </c>
      <c r="L85" s="112">
        <f>'Entrar Dades'!L131</f>
        <v>0</v>
      </c>
      <c r="M85" s="111">
        <f>'Entrar Dades'!M131</f>
        <v>0</v>
      </c>
      <c r="N85" s="109">
        <f>'Entrar Dades'!N131</f>
        <v>0</v>
      </c>
    </row>
    <row r="86" spans="2:14" ht="13.8" x14ac:dyDescent="0.25">
      <c r="B86" s="109"/>
      <c r="C86" s="110">
        <f>'Entrar Dades'!C132</f>
        <v>0</v>
      </c>
      <c r="D86" s="111">
        <f>'Entrar Dades'!D132</f>
        <v>0</v>
      </c>
      <c r="E86" s="110">
        <f>'Entrar Dades'!G132</f>
        <v>0</v>
      </c>
      <c r="F86" s="112">
        <f>'Entrar Dades'!J132</f>
        <v>0</v>
      </c>
      <c r="G86" s="112">
        <f>'Entrar Dades'!H132</f>
        <v>0</v>
      </c>
      <c r="H86" s="111">
        <f>'Entrar Dades'!E132</f>
        <v>0</v>
      </c>
      <c r="I86" s="110">
        <f>'Entrar Dades'!F132</f>
        <v>0</v>
      </c>
      <c r="J86" s="111">
        <f>'Entrar Dades'!I132</f>
        <v>0</v>
      </c>
      <c r="K86" s="112">
        <f>'Entrar Dades'!K132</f>
        <v>0</v>
      </c>
      <c r="L86" s="112">
        <f>'Entrar Dades'!L132</f>
        <v>0</v>
      </c>
      <c r="M86" s="111">
        <f>'Entrar Dades'!M132</f>
        <v>0</v>
      </c>
      <c r="N86" s="109">
        <f>'Entrar Dades'!N132</f>
        <v>0</v>
      </c>
    </row>
    <row r="87" spans="2:14" ht="13.8" x14ac:dyDescent="0.25">
      <c r="B87" s="109"/>
      <c r="C87" s="110">
        <f>'Entrar Dades'!C133</f>
        <v>0</v>
      </c>
      <c r="D87" s="111">
        <f>'Entrar Dades'!D133</f>
        <v>0</v>
      </c>
      <c r="E87" s="110">
        <f>'Entrar Dades'!G133</f>
        <v>0</v>
      </c>
      <c r="F87" s="112">
        <f>'Entrar Dades'!J133</f>
        <v>0</v>
      </c>
      <c r="G87" s="112">
        <f>'Entrar Dades'!H133</f>
        <v>0</v>
      </c>
      <c r="H87" s="111">
        <f>'Entrar Dades'!E133</f>
        <v>0</v>
      </c>
      <c r="I87" s="110">
        <f>'Entrar Dades'!F133</f>
        <v>0</v>
      </c>
      <c r="J87" s="111">
        <f>'Entrar Dades'!I133</f>
        <v>0</v>
      </c>
      <c r="K87" s="112">
        <f>'Entrar Dades'!K133</f>
        <v>0</v>
      </c>
      <c r="L87" s="112">
        <f>'Entrar Dades'!L133</f>
        <v>0</v>
      </c>
      <c r="M87" s="111">
        <f>'Entrar Dades'!M133</f>
        <v>0</v>
      </c>
      <c r="N87" s="109">
        <f>'Entrar Dades'!N133</f>
        <v>0</v>
      </c>
    </row>
    <row r="88" spans="2:14" ht="13.8" x14ac:dyDescent="0.25">
      <c r="B88" s="105" t="str">
        <f>'Entrar Dades'!A134&amp;" "&amp;'Entrar Dades'!B134</f>
        <v xml:space="preserve">29 </v>
      </c>
      <c r="C88" s="106">
        <f>'Entrar Dades'!C134</f>
        <v>0</v>
      </c>
      <c r="D88" s="107">
        <f>'Entrar Dades'!D134</f>
        <v>0</v>
      </c>
      <c r="E88" s="106">
        <f>'Entrar Dades'!G134</f>
        <v>0</v>
      </c>
      <c r="F88" s="108">
        <f>'Entrar Dades'!J134</f>
        <v>0</v>
      </c>
      <c r="G88" s="108">
        <f>'Entrar Dades'!H134</f>
        <v>0</v>
      </c>
      <c r="H88" s="107">
        <f>'Entrar Dades'!E134</f>
        <v>0</v>
      </c>
      <c r="I88" s="106">
        <f>'Entrar Dades'!F134</f>
        <v>0</v>
      </c>
      <c r="J88" s="107">
        <f>'Entrar Dades'!I134</f>
        <v>0</v>
      </c>
      <c r="K88" s="108">
        <f>'Entrar Dades'!K134</f>
        <v>0</v>
      </c>
      <c r="L88" s="108">
        <f>'Entrar Dades'!L134</f>
        <v>0</v>
      </c>
      <c r="M88" s="107">
        <f>'Entrar Dades'!M134</f>
        <v>0</v>
      </c>
      <c r="N88" s="105">
        <f>'Entrar Dades'!N134</f>
        <v>0</v>
      </c>
    </row>
    <row r="89" spans="2:14" ht="13.8" x14ac:dyDescent="0.25">
      <c r="B89" s="105"/>
      <c r="C89" s="106">
        <f>'Entrar Dades'!C135</f>
        <v>0</v>
      </c>
      <c r="D89" s="107">
        <f>'Entrar Dades'!D135</f>
        <v>0</v>
      </c>
      <c r="E89" s="106">
        <f>'Entrar Dades'!G135</f>
        <v>0</v>
      </c>
      <c r="F89" s="108">
        <f>'Entrar Dades'!J135</f>
        <v>0</v>
      </c>
      <c r="G89" s="108">
        <f>'Entrar Dades'!H135</f>
        <v>0</v>
      </c>
      <c r="H89" s="107">
        <f>'Entrar Dades'!E135</f>
        <v>0</v>
      </c>
      <c r="I89" s="106">
        <f>'Entrar Dades'!F135</f>
        <v>0</v>
      </c>
      <c r="J89" s="107">
        <f>'Entrar Dades'!I135</f>
        <v>0</v>
      </c>
      <c r="K89" s="108">
        <f>'Entrar Dades'!K135</f>
        <v>0</v>
      </c>
      <c r="L89" s="108">
        <f>'Entrar Dades'!L135</f>
        <v>0</v>
      </c>
      <c r="M89" s="107">
        <f>'Entrar Dades'!M135</f>
        <v>0</v>
      </c>
      <c r="N89" s="105">
        <f>'Entrar Dades'!N135</f>
        <v>0</v>
      </c>
    </row>
    <row r="90" spans="2:14" ht="13.8" x14ac:dyDescent="0.25">
      <c r="B90" s="105"/>
      <c r="C90" s="106">
        <f>'Entrar Dades'!C136</f>
        <v>0</v>
      </c>
      <c r="D90" s="107">
        <f>'Entrar Dades'!D136</f>
        <v>0</v>
      </c>
      <c r="E90" s="106">
        <f>'Entrar Dades'!G136</f>
        <v>0</v>
      </c>
      <c r="F90" s="108">
        <f>'Entrar Dades'!J136</f>
        <v>0</v>
      </c>
      <c r="G90" s="108">
        <f>'Entrar Dades'!H136</f>
        <v>0</v>
      </c>
      <c r="H90" s="107">
        <f>'Entrar Dades'!E136</f>
        <v>0</v>
      </c>
      <c r="I90" s="106">
        <f>'Entrar Dades'!F136</f>
        <v>0</v>
      </c>
      <c r="J90" s="107">
        <f>'Entrar Dades'!I136</f>
        <v>0</v>
      </c>
      <c r="K90" s="108">
        <f>'Entrar Dades'!K136</f>
        <v>0</v>
      </c>
      <c r="L90" s="108">
        <f>'Entrar Dades'!L136</f>
        <v>0</v>
      </c>
      <c r="M90" s="107">
        <f>'Entrar Dades'!M136</f>
        <v>0</v>
      </c>
      <c r="N90" s="105">
        <f>'Entrar Dades'!N136</f>
        <v>0</v>
      </c>
    </row>
    <row r="91" spans="2:14" ht="13.8" x14ac:dyDescent="0.25">
      <c r="B91" s="109" t="str">
        <f>'Entrar Dades'!A137&amp;" "&amp;'Entrar Dades'!B137</f>
        <v xml:space="preserve">30 </v>
      </c>
      <c r="C91" s="110">
        <f>'Entrar Dades'!C137</f>
        <v>0</v>
      </c>
      <c r="D91" s="111">
        <f>'Entrar Dades'!D137</f>
        <v>0</v>
      </c>
      <c r="E91" s="110">
        <f>'Entrar Dades'!G137</f>
        <v>0</v>
      </c>
      <c r="F91" s="112">
        <f>'Entrar Dades'!J137</f>
        <v>0</v>
      </c>
      <c r="G91" s="112">
        <f>'Entrar Dades'!H137</f>
        <v>0</v>
      </c>
      <c r="H91" s="111">
        <f>'Entrar Dades'!E137</f>
        <v>0</v>
      </c>
      <c r="I91" s="110">
        <f>'Entrar Dades'!F137</f>
        <v>0</v>
      </c>
      <c r="J91" s="111">
        <f>'Entrar Dades'!I137</f>
        <v>0</v>
      </c>
      <c r="K91" s="112">
        <f>'Entrar Dades'!K137</f>
        <v>0</v>
      </c>
      <c r="L91" s="112">
        <f>'Entrar Dades'!L137</f>
        <v>0</v>
      </c>
      <c r="M91" s="111">
        <f>'Entrar Dades'!M137</f>
        <v>0</v>
      </c>
      <c r="N91" s="109">
        <f>'Entrar Dades'!N137</f>
        <v>0</v>
      </c>
    </row>
    <row r="92" spans="2:14" ht="13.8" x14ac:dyDescent="0.25">
      <c r="B92" s="109"/>
      <c r="C92" s="110">
        <f>'Entrar Dades'!C138</f>
        <v>0</v>
      </c>
      <c r="D92" s="111">
        <f>'Entrar Dades'!D138</f>
        <v>0</v>
      </c>
      <c r="E92" s="110">
        <f>'Entrar Dades'!G138</f>
        <v>0</v>
      </c>
      <c r="F92" s="112">
        <f>'Entrar Dades'!J138</f>
        <v>0</v>
      </c>
      <c r="G92" s="112">
        <f>'Entrar Dades'!H138</f>
        <v>0</v>
      </c>
      <c r="H92" s="111">
        <f>'Entrar Dades'!E138</f>
        <v>0</v>
      </c>
      <c r="I92" s="110">
        <f>'Entrar Dades'!F138</f>
        <v>0</v>
      </c>
      <c r="J92" s="111">
        <f>'Entrar Dades'!I138</f>
        <v>0</v>
      </c>
      <c r="K92" s="112">
        <f>'Entrar Dades'!K138</f>
        <v>0</v>
      </c>
      <c r="L92" s="112">
        <f>'Entrar Dades'!L138</f>
        <v>0</v>
      </c>
      <c r="M92" s="111">
        <f>'Entrar Dades'!M138</f>
        <v>0</v>
      </c>
      <c r="N92" s="109">
        <f>'Entrar Dades'!N138</f>
        <v>0</v>
      </c>
    </row>
    <row r="93" spans="2:14" ht="13.8" x14ac:dyDescent="0.25">
      <c r="B93" s="109"/>
      <c r="C93" s="110">
        <f>'Entrar Dades'!C139</f>
        <v>0</v>
      </c>
      <c r="D93" s="111">
        <f>'Entrar Dades'!D139</f>
        <v>0</v>
      </c>
      <c r="E93" s="110">
        <f>'Entrar Dades'!G139</f>
        <v>0</v>
      </c>
      <c r="F93" s="112">
        <f>'Entrar Dades'!J139</f>
        <v>0</v>
      </c>
      <c r="G93" s="112">
        <f>'Entrar Dades'!H139</f>
        <v>0</v>
      </c>
      <c r="H93" s="111">
        <f>'Entrar Dades'!E139</f>
        <v>0</v>
      </c>
      <c r="I93" s="110">
        <f>'Entrar Dades'!F139</f>
        <v>0</v>
      </c>
      <c r="J93" s="111">
        <f>'Entrar Dades'!I139</f>
        <v>0</v>
      </c>
      <c r="K93" s="112">
        <f>'Entrar Dades'!K139</f>
        <v>0</v>
      </c>
      <c r="L93" s="112">
        <f>'Entrar Dades'!L139</f>
        <v>0</v>
      </c>
      <c r="M93" s="111">
        <f>'Entrar Dades'!M139</f>
        <v>0</v>
      </c>
      <c r="N93" s="109">
        <f>'Entrar Dades'!N139</f>
        <v>0</v>
      </c>
    </row>
    <row r="94" spans="2:14" ht="13.8" x14ac:dyDescent="0.25">
      <c r="B94" s="105" t="str">
        <f>'Entrar Dades'!A140&amp;" "&amp;'Entrar Dades'!B140</f>
        <v xml:space="preserve">31 </v>
      </c>
      <c r="C94" s="106">
        <f>'Entrar Dades'!C140</f>
        <v>0</v>
      </c>
      <c r="D94" s="107">
        <f>'Entrar Dades'!D140</f>
        <v>0</v>
      </c>
      <c r="E94" s="106">
        <f>'Entrar Dades'!G140</f>
        <v>0</v>
      </c>
      <c r="F94" s="108">
        <f>'Entrar Dades'!J140</f>
        <v>0</v>
      </c>
      <c r="G94" s="108">
        <f>'Entrar Dades'!H140</f>
        <v>0</v>
      </c>
      <c r="H94" s="107">
        <f>'Entrar Dades'!E140</f>
        <v>0</v>
      </c>
      <c r="I94" s="106">
        <f>'Entrar Dades'!F140</f>
        <v>0</v>
      </c>
      <c r="J94" s="107">
        <f>'Entrar Dades'!I140</f>
        <v>0</v>
      </c>
      <c r="K94" s="108">
        <f>'Entrar Dades'!K140</f>
        <v>0</v>
      </c>
      <c r="L94" s="108">
        <f>'Entrar Dades'!L140</f>
        <v>0</v>
      </c>
      <c r="M94" s="107">
        <f>'Entrar Dades'!M140</f>
        <v>0</v>
      </c>
      <c r="N94" s="105">
        <f>'Entrar Dades'!N140</f>
        <v>0</v>
      </c>
    </row>
    <row r="95" spans="2:14" ht="13.8" x14ac:dyDescent="0.25">
      <c r="B95" s="105"/>
      <c r="C95" s="106">
        <f>'Entrar Dades'!C141</f>
        <v>0</v>
      </c>
      <c r="D95" s="107">
        <f>'Entrar Dades'!D141</f>
        <v>0</v>
      </c>
      <c r="E95" s="106">
        <f>'Entrar Dades'!G141</f>
        <v>0</v>
      </c>
      <c r="F95" s="108">
        <f>'Entrar Dades'!J141</f>
        <v>0</v>
      </c>
      <c r="G95" s="108">
        <f>'Entrar Dades'!H141</f>
        <v>0</v>
      </c>
      <c r="H95" s="107">
        <f>'Entrar Dades'!E141</f>
        <v>0</v>
      </c>
      <c r="I95" s="106">
        <f>'Entrar Dades'!F141</f>
        <v>0</v>
      </c>
      <c r="J95" s="107">
        <f>'Entrar Dades'!I141</f>
        <v>0</v>
      </c>
      <c r="K95" s="108">
        <f>'Entrar Dades'!K141</f>
        <v>0</v>
      </c>
      <c r="L95" s="108">
        <f>'Entrar Dades'!L141</f>
        <v>0</v>
      </c>
      <c r="M95" s="107">
        <f>'Entrar Dades'!M141</f>
        <v>0</v>
      </c>
      <c r="N95" s="105">
        <f>'Entrar Dades'!N141</f>
        <v>0</v>
      </c>
    </row>
    <row r="96" spans="2:14" ht="13.8" x14ac:dyDescent="0.25">
      <c r="B96" s="105"/>
      <c r="C96" s="106">
        <f>'Entrar Dades'!C142</f>
        <v>0</v>
      </c>
      <c r="D96" s="107">
        <f>'Entrar Dades'!D142</f>
        <v>0</v>
      </c>
      <c r="E96" s="106">
        <f>'Entrar Dades'!G142</f>
        <v>0</v>
      </c>
      <c r="F96" s="108">
        <f>'Entrar Dades'!J142</f>
        <v>0</v>
      </c>
      <c r="G96" s="108">
        <f>'Entrar Dades'!H142</f>
        <v>0</v>
      </c>
      <c r="H96" s="107">
        <f>'Entrar Dades'!E142</f>
        <v>0</v>
      </c>
      <c r="I96" s="106">
        <f>'Entrar Dades'!F142</f>
        <v>0</v>
      </c>
      <c r="J96" s="107">
        <f>'Entrar Dades'!I142</f>
        <v>0</v>
      </c>
      <c r="K96" s="108">
        <f>'Entrar Dades'!K142</f>
        <v>0</v>
      </c>
      <c r="L96" s="108">
        <f>'Entrar Dades'!L142</f>
        <v>0</v>
      </c>
      <c r="M96" s="107">
        <f>'Entrar Dades'!M142</f>
        <v>0</v>
      </c>
      <c r="N96" s="105">
        <f>'Entrar Dades'!N142</f>
        <v>0</v>
      </c>
    </row>
    <row r="97" spans="2:14" ht="13.8" x14ac:dyDescent="0.25">
      <c r="B97" s="109" t="str">
        <f>'Entrar Dades'!A143&amp;" "&amp;'Entrar Dades'!B143</f>
        <v xml:space="preserve">32 </v>
      </c>
      <c r="C97" s="110">
        <f>'Entrar Dades'!C143</f>
        <v>0</v>
      </c>
      <c r="D97" s="111">
        <f>'Entrar Dades'!D143</f>
        <v>0</v>
      </c>
      <c r="E97" s="110">
        <f>'Entrar Dades'!G143</f>
        <v>0</v>
      </c>
      <c r="F97" s="112">
        <f>'Entrar Dades'!J143</f>
        <v>0</v>
      </c>
      <c r="G97" s="112">
        <f>'Entrar Dades'!H143</f>
        <v>0</v>
      </c>
      <c r="H97" s="111">
        <f>'Entrar Dades'!E143</f>
        <v>0</v>
      </c>
      <c r="I97" s="110">
        <f>'Entrar Dades'!F143</f>
        <v>0</v>
      </c>
      <c r="J97" s="111">
        <f>'Entrar Dades'!I143</f>
        <v>0</v>
      </c>
      <c r="K97" s="112">
        <f>'Entrar Dades'!K143</f>
        <v>0</v>
      </c>
      <c r="L97" s="112">
        <f>'Entrar Dades'!L143</f>
        <v>0</v>
      </c>
      <c r="M97" s="111">
        <f>'Entrar Dades'!M143</f>
        <v>0</v>
      </c>
      <c r="N97" s="109">
        <f>'Entrar Dades'!N143</f>
        <v>0</v>
      </c>
    </row>
    <row r="98" spans="2:14" ht="13.8" x14ac:dyDescent="0.25">
      <c r="B98" s="109"/>
      <c r="C98" s="110">
        <f>'Entrar Dades'!C144</f>
        <v>0</v>
      </c>
      <c r="D98" s="111">
        <f>'Entrar Dades'!D144</f>
        <v>0</v>
      </c>
      <c r="E98" s="110">
        <f>'Entrar Dades'!G144</f>
        <v>0</v>
      </c>
      <c r="F98" s="112">
        <f>'Entrar Dades'!J144</f>
        <v>0</v>
      </c>
      <c r="G98" s="112">
        <f>'Entrar Dades'!H144</f>
        <v>0</v>
      </c>
      <c r="H98" s="111">
        <f>'Entrar Dades'!E144</f>
        <v>0</v>
      </c>
      <c r="I98" s="110">
        <f>'Entrar Dades'!F144</f>
        <v>0</v>
      </c>
      <c r="J98" s="111">
        <f>'Entrar Dades'!I144</f>
        <v>0</v>
      </c>
      <c r="K98" s="112">
        <f>'Entrar Dades'!K144</f>
        <v>0</v>
      </c>
      <c r="L98" s="112">
        <f>'Entrar Dades'!L144</f>
        <v>0</v>
      </c>
      <c r="M98" s="111">
        <f>'Entrar Dades'!M144</f>
        <v>0</v>
      </c>
      <c r="N98" s="109">
        <f>'Entrar Dades'!N144</f>
        <v>0</v>
      </c>
    </row>
    <row r="99" spans="2:14" ht="13.8" x14ac:dyDescent="0.25">
      <c r="B99" s="109"/>
      <c r="C99" s="110">
        <f>'Entrar Dades'!C145</f>
        <v>0</v>
      </c>
      <c r="D99" s="111">
        <f>'Entrar Dades'!D145</f>
        <v>0</v>
      </c>
      <c r="E99" s="110">
        <f>'Entrar Dades'!G145</f>
        <v>0</v>
      </c>
      <c r="F99" s="112">
        <f>'Entrar Dades'!J145</f>
        <v>0</v>
      </c>
      <c r="G99" s="112">
        <f>'Entrar Dades'!H145</f>
        <v>0</v>
      </c>
      <c r="H99" s="111">
        <f>'Entrar Dades'!E145</f>
        <v>0</v>
      </c>
      <c r="I99" s="110">
        <f>'Entrar Dades'!F145</f>
        <v>0</v>
      </c>
      <c r="J99" s="111">
        <f>'Entrar Dades'!I145</f>
        <v>0</v>
      </c>
      <c r="K99" s="112">
        <f>'Entrar Dades'!K145</f>
        <v>0</v>
      </c>
      <c r="L99" s="112">
        <f>'Entrar Dades'!L145</f>
        <v>0</v>
      </c>
      <c r="M99" s="111">
        <f>'Entrar Dades'!M145</f>
        <v>0</v>
      </c>
      <c r="N99" s="109">
        <f>'Entrar Dades'!N145</f>
        <v>0</v>
      </c>
    </row>
    <row r="100" spans="2:14" ht="13.8" x14ac:dyDescent="0.25">
      <c r="B100" s="105" t="str">
        <f>'Entrar Dades'!A146&amp;" "&amp;'Entrar Dades'!B146</f>
        <v xml:space="preserve">33 </v>
      </c>
      <c r="C100" s="106">
        <f>'Entrar Dades'!C146</f>
        <v>0</v>
      </c>
      <c r="D100" s="107">
        <f>'Entrar Dades'!D146</f>
        <v>0</v>
      </c>
      <c r="E100" s="106">
        <f>'Entrar Dades'!G146</f>
        <v>0</v>
      </c>
      <c r="F100" s="108">
        <f>'Entrar Dades'!J146</f>
        <v>0</v>
      </c>
      <c r="G100" s="108">
        <f>'Entrar Dades'!H146</f>
        <v>0</v>
      </c>
      <c r="H100" s="107">
        <f>'Entrar Dades'!E146</f>
        <v>0</v>
      </c>
      <c r="I100" s="106">
        <f>'Entrar Dades'!F146</f>
        <v>0</v>
      </c>
      <c r="J100" s="107">
        <f>'Entrar Dades'!I146</f>
        <v>0</v>
      </c>
      <c r="K100" s="108">
        <f>'Entrar Dades'!K146</f>
        <v>0</v>
      </c>
      <c r="L100" s="108">
        <f>'Entrar Dades'!L146</f>
        <v>0</v>
      </c>
      <c r="M100" s="107">
        <f>'Entrar Dades'!M146</f>
        <v>0</v>
      </c>
      <c r="N100" s="105">
        <f>'Entrar Dades'!N146</f>
        <v>0</v>
      </c>
    </row>
    <row r="101" spans="2:14" ht="13.8" x14ac:dyDescent="0.25">
      <c r="B101" s="105"/>
      <c r="C101" s="106">
        <f>'Entrar Dades'!C147</f>
        <v>0</v>
      </c>
      <c r="D101" s="107">
        <f>'Entrar Dades'!D147</f>
        <v>0</v>
      </c>
      <c r="E101" s="106">
        <f>'Entrar Dades'!G147</f>
        <v>0</v>
      </c>
      <c r="F101" s="108">
        <f>'Entrar Dades'!J147</f>
        <v>0</v>
      </c>
      <c r="G101" s="108">
        <f>'Entrar Dades'!H147</f>
        <v>0</v>
      </c>
      <c r="H101" s="107">
        <f>'Entrar Dades'!E147</f>
        <v>0</v>
      </c>
      <c r="I101" s="106">
        <f>'Entrar Dades'!F147</f>
        <v>0</v>
      </c>
      <c r="J101" s="107">
        <f>'Entrar Dades'!I147</f>
        <v>0</v>
      </c>
      <c r="K101" s="108">
        <f>'Entrar Dades'!K147</f>
        <v>0</v>
      </c>
      <c r="L101" s="108">
        <f>'Entrar Dades'!L147</f>
        <v>0</v>
      </c>
      <c r="M101" s="107">
        <f>'Entrar Dades'!M147</f>
        <v>0</v>
      </c>
      <c r="N101" s="105">
        <f>'Entrar Dades'!N147</f>
        <v>0</v>
      </c>
    </row>
    <row r="102" spans="2:14" ht="13.8" x14ac:dyDescent="0.25">
      <c r="B102" s="105"/>
      <c r="C102" s="106">
        <f>'Entrar Dades'!C148</f>
        <v>0</v>
      </c>
      <c r="D102" s="107">
        <f>'Entrar Dades'!D148</f>
        <v>0</v>
      </c>
      <c r="E102" s="106">
        <f>'Entrar Dades'!G148</f>
        <v>0</v>
      </c>
      <c r="F102" s="108">
        <f>'Entrar Dades'!J148</f>
        <v>0</v>
      </c>
      <c r="G102" s="108">
        <f>'Entrar Dades'!H148</f>
        <v>0</v>
      </c>
      <c r="H102" s="107">
        <f>'Entrar Dades'!E148</f>
        <v>0</v>
      </c>
      <c r="I102" s="106">
        <f>'Entrar Dades'!F148</f>
        <v>0</v>
      </c>
      <c r="J102" s="107">
        <f>'Entrar Dades'!I148</f>
        <v>0</v>
      </c>
      <c r="K102" s="108">
        <f>'Entrar Dades'!K148</f>
        <v>0</v>
      </c>
      <c r="L102" s="108">
        <f>'Entrar Dades'!L148</f>
        <v>0</v>
      </c>
      <c r="M102" s="107">
        <f>'Entrar Dades'!M148</f>
        <v>0</v>
      </c>
      <c r="N102" s="105">
        <f>'Entrar Dades'!N148</f>
        <v>0</v>
      </c>
    </row>
    <row r="103" spans="2:14" ht="13.8" x14ac:dyDescent="0.25">
      <c r="B103" s="109" t="str">
        <f>'Entrar Dades'!A149&amp;" "&amp;'Entrar Dades'!B149</f>
        <v xml:space="preserve">34 </v>
      </c>
      <c r="C103" s="110">
        <f>'Entrar Dades'!C149</f>
        <v>0</v>
      </c>
      <c r="D103" s="111">
        <f>'Entrar Dades'!D149</f>
        <v>0</v>
      </c>
      <c r="E103" s="110">
        <f>'Entrar Dades'!G149</f>
        <v>0</v>
      </c>
      <c r="F103" s="112">
        <f>'Entrar Dades'!J149</f>
        <v>0</v>
      </c>
      <c r="G103" s="112">
        <f>'Entrar Dades'!H149</f>
        <v>0</v>
      </c>
      <c r="H103" s="111">
        <f>'Entrar Dades'!E149</f>
        <v>0</v>
      </c>
      <c r="I103" s="110">
        <f>'Entrar Dades'!F149</f>
        <v>0</v>
      </c>
      <c r="J103" s="111">
        <f>'Entrar Dades'!I149</f>
        <v>0</v>
      </c>
      <c r="K103" s="112">
        <f>'Entrar Dades'!K149</f>
        <v>0</v>
      </c>
      <c r="L103" s="112">
        <f>'Entrar Dades'!L149</f>
        <v>0</v>
      </c>
      <c r="M103" s="111">
        <f>'Entrar Dades'!M149</f>
        <v>0</v>
      </c>
      <c r="N103" s="109">
        <f>'Entrar Dades'!N149</f>
        <v>0</v>
      </c>
    </row>
    <row r="104" spans="2:14" ht="13.8" x14ac:dyDescent="0.25">
      <c r="B104" s="109"/>
      <c r="C104" s="110">
        <f>'Entrar Dades'!C150</f>
        <v>0</v>
      </c>
      <c r="D104" s="111">
        <f>'Entrar Dades'!D150</f>
        <v>0</v>
      </c>
      <c r="E104" s="110">
        <f>'Entrar Dades'!G150</f>
        <v>0</v>
      </c>
      <c r="F104" s="112">
        <f>'Entrar Dades'!J150</f>
        <v>0</v>
      </c>
      <c r="G104" s="112">
        <f>'Entrar Dades'!H150</f>
        <v>0</v>
      </c>
      <c r="H104" s="111">
        <f>'Entrar Dades'!E150</f>
        <v>0</v>
      </c>
      <c r="I104" s="110">
        <f>'Entrar Dades'!F150</f>
        <v>0</v>
      </c>
      <c r="J104" s="111">
        <f>'Entrar Dades'!I150</f>
        <v>0</v>
      </c>
      <c r="K104" s="112">
        <f>'Entrar Dades'!K150</f>
        <v>0</v>
      </c>
      <c r="L104" s="112">
        <f>'Entrar Dades'!L150</f>
        <v>0</v>
      </c>
      <c r="M104" s="111">
        <f>'Entrar Dades'!M150</f>
        <v>0</v>
      </c>
      <c r="N104" s="109">
        <f>'Entrar Dades'!N150</f>
        <v>0</v>
      </c>
    </row>
    <row r="105" spans="2:14" ht="13.8" x14ac:dyDescent="0.25">
      <c r="B105" s="109"/>
      <c r="C105" s="110">
        <f>'Entrar Dades'!C151</f>
        <v>0</v>
      </c>
      <c r="D105" s="111">
        <f>'Entrar Dades'!D151</f>
        <v>0</v>
      </c>
      <c r="E105" s="110">
        <f>'Entrar Dades'!G151</f>
        <v>0</v>
      </c>
      <c r="F105" s="112">
        <f>'Entrar Dades'!J151</f>
        <v>0</v>
      </c>
      <c r="G105" s="112">
        <f>'Entrar Dades'!H151</f>
        <v>0</v>
      </c>
      <c r="H105" s="111">
        <f>'Entrar Dades'!E151</f>
        <v>0</v>
      </c>
      <c r="I105" s="110">
        <f>'Entrar Dades'!F151</f>
        <v>0</v>
      </c>
      <c r="J105" s="111">
        <f>'Entrar Dades'!I151</f>
        <v>0</v>
      </c>
      <c r="K105" s="112">
        <f>'Entrar Dades'!K151</f>
        <v>0</v>
      </c>
      <c r="L105" s="112">
        <f>'Entrar Dades'!L151</f>
        <v>0</v>
      </c>
      <c r="M105" s="111">
        <f>'Entrar Dades'!M151</f>
        <v>0</v>
      </c>
      <c r="N105" s="109">
        <f>'Entrar Dades'!N151</f>
        <v>0</v>
      </c>
    </row>
    <row r="106" spans="2:14" ht="13.8" x14ac:dyDescent="0.25">
      <c r="B106" s="105" t="str">
        <f>'Entrar Dades'!A152&amp;" "&amp;'Entrar Dades'!B152</f>
        <v xml:space="preserve">35 </v>
      </c>
      <c r="C106" s="106">
        <f>'Entrar Dades'!C152</f>
        <v>0</v>
      </c>
      <c r="D106" s="107">
        <f>'Entrar Dades'!D152</f>
        <v>0</v>
      </c>
      <c r="E106" s="106">
        <f>'Entrar Dades'!G152</f>
        <v>0</v>
      </c>
      <c r="F106" s="108">
        <f>'Entrar Dades'!J152</f>
        <v>0</v>
      </c>
      <c r="G106" s="108">
        <f>'Entrar Dades'!H152</f>
        <v>0</v>
      </c>
      <c r="H106" s="107">
        <f>'Entrar Dades'!E152</f>
        <v>0</v>
      </c>
      <c r="I106" s="106">
        <f>'Entrar Dades'!F152</f>
        <v>0</v>
      </c>
      <c r="J106" s="107">
        <f>'Entrar Dades'!I152</f>
        <v>0</v>
      </c>
      <c r="K106" s="108">
        <f>'Entrar Dades'!K152</f>
        <v>0</v>
      </c>
      <c r="L106" s="108">
        <f>'Entrar Dades'!L152</f>
        <v>0</v>
      </c>
      <c r="M106" s="107">
        <f>'Entrar Dades'!M152</f>
        <v>0</v>
      </c>
      <c r="N106" s="105">
        <f>'Entrar Dades'!N152</f>
        <v>0</v>
      </c>
    </row>
    <row r="107" spans="2:14" ht="13.8" x14ac:dyDescent="0.25">
      <c r="B107" s="105"/>
      <c r="C107" s="106">
        <f>'Entrar Dades'!C153</f>
        <v>0</v>
      </c>
      <c r="D107" s="107">
        <f>'Entrar Dades'!D153</f>
        <v>0</v>
      </c>
      <c r="E107" s="106">
        <f>'Entrar Dades'!G153</f>
        <v>0</v>
      </c>
      <c r="F107" s="108">
        <f>'Entrar Dades'!J153</f>
        <v>0</v>
      </c>
      <c r="G107" s="108">
        <f>'Entrar Dades'!H153</f>
        <v>0</v>
      </c>
      <c r="H107" s="107">
        <f>'Entrar Dades'!E153</f>
        <v>0</v>
      </c>
      <c r="I107" s="106">
        <f>'Entrar Dades'!F153</f>
        <v>0</v>
      </c>
      <c r="J107" s="107">
        <f>'Entrar Dades'!I153</f>
        <v>0</v>
      </c>
      <c r="K107" s="108">
        <f>'Entrar Dades'!K153</f>
        <v>0</v>
      </c>
      <c r="L107" s="108">
        <f>'Entrar Dades'!L153</f>
        <v>0</v>
      </c>
      <c r="M107" s="107">
        <f>'Entrar Dades'!M153</f>
        <v>0</v>
      </c>
      <c r="N107" s="105">
        <f>'Entrar Dades'!N153</f>
        <v>0</v>
      </c>
    </row>
    <row r="108" spans="2:14" ht="13.8" x14ac:dyDescent="0.25">
      <c r="B108" s="113"/>
      <c r="C108" s="114">
        <f>'Entrar Dades'!C154</f>
        <v>0</v>
      </c>
      <c r="D108" s="115">
        <f>'Entrar Dades'!D154</f>
        <v>0</v>
      </c>
      <c r="E108" s="114">
        <f>'Entrar Dades'!G154</f>
        <v>0</v>
      </c>
      <c r="F108" s="116">
        <f>'Entrar Dades'!J154</f>
        <v>0</v>
      </c>
      <c r="G108" s="116">
        <f>'Entrar Dades'!H154</f>
        <v>0</v>
      </c>
      <c r="H108" s="115">
        <f>'Entrar Dades'!E154</f>
        <v>0</v>
      </c>
      <c r="I108" s="114">
        <f>'Entrar Dades'!F154</f>
        <v>0</v>
      </c>
      <c r="J108" s="115">
        <f>'Entrar Dades'!I154</f>
        <v>0</v>
      </c>
      <c r="K108" s="116">
        <f>'Entrar Dades'!K154</f>
        <v>0</v>
      </c>
      <c r="L108" s="116">
        <f>'Entrar Dades'!L154</f>
        <v>0</v>
      </c>
      <c r="M108" s="115">
        <f>'Entrar Dades'!M154</f>
        <v>0</v>
      </c>
      <c r="N108" s="113">
        <f>'Entrar Dades'!N154</f>
        <v>0</v>
      </c>
    </row>
    <row r="109" spans="2:14" x14ac:dyDescent="0.25"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25"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25"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25"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3:14" x14ac:dyDescent="0.25"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3:14" x14ac:dyDescent="0.25"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3:14" x14ac:dyDescent="0.25"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3:14" x14ac:dyDescent="0.25"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3:14" x14ac:dyDescent="0.25"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3:14" x14ac:dyDescent="0.25"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3:14" x14ac:dyDescent="0.25"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3:14" x14ac:dyDescent="0.25"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3:14" x14ac:dyDescent="0.25"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3:14" x14ac:dyDescent="0.25"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3:14" x14ac:dyDescent="0.25"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</sheetData>
  <phoneticPr fontId="0" type="noConversion"/>
  <pageMargins left="0.7" right="0.7" top="0.75" bottom="0.75" header="0.3" footer="0.3"/>
  <pageSetup paperSize="9" fitToHeight="0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</vt:i4>
      </vt:variant>
    </vt:vector>
  </HeadingPairs>
  <TitlesOfParts>
    <vt:vector size="7" baseType="lpstr">
      <vt:lpstr>Entrar Dades</vt:lpstr>
      <vt:lpstr>IMPRIMIR RESULTATS</vt:lpstr>
      <vt:lpstr>IMPRIMIR RESPOSTES</vt:lpstr>
      <vt:lpstr>'IMPRIMIR RESPOSTES'!Área_de_impresión</vt:lpstr>
      <vt:lpstr>'IMPRIMIR RESULTATS'!Área_de_impresión</vt:lpstr>
      <vt:lpstr>'IMPRIMIR RESPOSTES'!Títulos_a_imprimir</vt:lpstr>
      <vt:lpstr>'IMPRIMIR RESULTATS'!Títulos_a_imprimir</vt:lpstr>
    </vt:vector>
  </TitlesOfParts>
  <Company>Departament d'Educació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SGTI</dc:creator>
  <cp:lastModifiedBy>Salma Assbaghi</cp:lastModifiedBy>
  <cp:lastPrinted>2018-11-03T20:16:55Z</cp:lastPrinted>
  <dcterms:created xsi:type="dcterms:W3CDTF">2005-04-10T11:54:50Z</dcterms:created>
  <dcterms:modified xsi:type="dcterms:W3CDTF">2024-12-12T11:50:20Z</dcterms:modified>
</cp:coreProperties>
</file>